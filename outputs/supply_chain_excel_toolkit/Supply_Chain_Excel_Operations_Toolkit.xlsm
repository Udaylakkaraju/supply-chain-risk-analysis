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mc:AlternateContent xmlns:mc="http://schemas.openxmlformats.org/markup-compatibility/2006">
    <mc:Choice Requires="x15">
      <x15ac:absPath xmlns:x15ac="http://schemas.microsoft.com/office/spreadsheetml/2010/11/ac" url="D:\Personal Projects\Supply chain\outputs\supply_chain_excel_toolkit\"/>
    </mc:Choice>
  </mc:AlternateContent>
  <xr:revisionPtr revIDLastSave="0" documentId="8_{FF4C99FF-0FBD-4C80-B496-540A742A2D9D}" xr6:coauthVersionLast="47" xr6:coauthVersionMax="47" xr10:uidLastSave="{00000000-0000-0000-0000-000000000000}"/>
  <bookViews>
    <workbookView xWindow="-120" yWindow="-120" windowWidth="29040" windowHeight="15720" xr2:uid="{00000000-000D-0000-FFFF-FFFF00000000}"/>
  </bookViews>
  <sheets>
    <sheet name="Operations Overview" sheetId="1" r:id="rId1"/>
    <sheet name="Refresh Data" sheetId="2" r:id="rId2"/>
    <sheet name="Pivot Analysis" sheetId="3" r:id="rId3"/>
    <sheet name="Exception Report" sheetId="4" r:id="rId4"/>
    <sheet name="Scenario Model" sheetId="5" r:id="rId5"/>
    <sheet name="Data Refresh" sheetId="6" r:id="rId6"/>
  </sheets>
  <definedNames>
    <definedName name="slcMarket">#N/A</definedName>
    <definedName name="slcShippingMode">#N/A</definedName>
  </definedNames>
  <calcPr calcId="191029"/>
  <pivotCaches>
    <pivotCache cacheId="5"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5" l="1"/>
  <c r="B20" i="5" s="1"/>
  <c r="B13" i="5"/>
  <c r="B17" i="5" s="1"/>
  <c r="B12" i="5"/>
  <c r="B18" i="5" s="1"/>
  <c r="B11" i="5"/>
  <c r="B19" i="5" s="1"/>
  <c r="B10" i="5"/>
  <c r="G4" i="4"/>
  <c r="F4" i="4"/>
  <c r="E4" i="4"/>
  <c r="D4" i="4"/>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<sst xmlns="http://schemas.openxmlformats.org/spreadsheetml/2006/main" count="292" uniqueCount="95">
  <si>
    <t>Supply Chain Exception Management</t>
  </si>
  <si>
    <t>A separate, Excel-focused companion to the management workbook. It uses the validated market × shipping-mode mart; model outputs are decision-support scenarios, not realized savings.</t>
  </si>
  <si>
    <t>Operating model</t>
  </si>
  <si>
    <t>Focus</t>
  </si>
  <si>
    <t>Purpose</t>
  </si>
  <si>
    <t>Data refresh</t>
  </si>
  <si>
    <t>Lane-control data is sourced from the clean operational mart; refresh controls and source configuration are kept separately from business views.</t>
  </si>
  <si>
    <t>Priority review</t>
  </si>
  <si>
    <t>Use market and shipping-mode slicers to isolate exception clusters, then compare breach volume and profit exposure.</t>
  </si>
  <si>
    <t>Decision support</t>
  </si>
  <si>
    <t>Use the carrier-delay sensitivity before committing a pilot; all impact outputs are explicitly modeled, not realized.</t>
  </si>
  <si>
    <t>Exception handoff</t>
  </si>
  <si>
    <t>The refresh/export macro creates a value-only exception report for operational follow-up.</t>
  </si>
  <si>
    <t>Refresh Data | Clean Operational Lane Mart</t>
  </si>
  <si>
    <t>Source: data/mart_lane_reliability.csv. The Power Query recipe trims text and applies typed columns before loading this table. Use Data &gt; Refresh All after configuring the connection in Refresh Control.</t>
  </si>
  <si>
    <t>market</t>
  </si>
  <si>
    <t>shipping_mode</t>
  </si>
  <si>
    <t>order_count</t>
  </si>
  <si>
    <t>breach_count</t>
  </si>
  <si>
    <t>breach_rate_pct</t>
  </si>
  <si>
    <t>breach_share_pct</t>
  </si>
  <si>
    <t>avg_delay_days</t>
  </si>
  <si>
    <t>delay_sd</t>
  </si>
  <si>
    <t>profit_at_risk</t>
  </si>
  <si>
    <t>profit_risk_rank</t>
  </si>
  <si>
    <t>variability_priority_rank</t>
  </si>
  <si>
    <t>action_category</t>
  </si>
  <si>
    <t>Europe</t>
  </si>
  <si>
    <t>Standard Class</t>
  </si>
  <si>
    <t>Stabilize</t>
  </si>
  <si>
    <t>Second Class</t>
  </si>
  <si>
    <t>Protect</t>
  </si>
  <si>
    <t>LATAM</t>
  </si>
  <si>
    <t>Pacific Asia</t>
  </si>
  <si>
    <t>USCA</t>
  </si>
  <si>
    <t>Africa</t>
  </si>
  <si>
    <t>Monitor</t>
  </si>
  <si>
    <t>Maintain</t>
  </si>
  <si>
    <t>Same Day</t>
  </si>
  <si>
    <t>First Class</t>
  </si>
  <si>
    <t>Review SLA Definition</t>
  </si>
  <si>
    <t>Pivot Analysis | Lane Exceptions</t>
  </si>
  <si>
    <t>Use the Market and Shipping Mode slicers to focus the PivotTable. This view ranks the visible lanes by breached orders and profit exposure.</t>
  </si>
  <si>
    <t>Market</t>
  </si>
  <si>
    <t>Shipping Mode</t>
  </si>
  <si>
    <t>Order Count</t>
  </si>
  <si>
    <t>Breach Count</t>
  </si>
  <si>
    <t>Breach Rate</t>
  </si>
  <si>
    <t>Avg Delay Days</t>
  </si>
  <si>
    <t>Profit at Risk</t>
  </si>
  <si>
    <t>Action Category</t>
  </si>
  <si>
    <t>Exception Report | Priority Queue</t>
  </si>
  <si>
    <t>Action category filter</t>
  </si>
  <si>
    <t>Exception lanes</t>
  </si>
  <si>
    <t>Orders in scope</t>
  </si>
  <si>
    <t>Breaches</t>
  </si>
  <si>
    <t>Profit at risk</t>
  </si>
  <si>
    <t>Initial queue: Protect lanes. The selector above updates the COUNTIFS/SUMIFS impact cards; use the PivotTable slicers for an interactive lane-level filter.</t>
  </si>
  <si>
    <t>Scenario Model | What if Carrier Delay Rises 10%?</t>
  </si>
  <si>
    <t>A transparent sensitivity model for discussion and pilot design. It applies a proportional 10% delay shock to the selected service mode; it is not a forecast of realized breaches or savings.</t>
  </si>
  <si>
    <t>Editable assumptions</t>
  </si>
  <si>
    <t>Carrier delay increase</t>
  </si>
  <si>
    <t>Shipping mode</t>
  </si>
  <si>
    <t>Baseline from shipping-mode mart (XLOOKUP)</t>
  </si>
  <si>
    <t>Breached orders</t>
  </si>
  <si>
    <t>Breach rate</t>
  </si>
  <si>
    <t>Average delay days</t>
  </si>
  <si>
    <t>Modeled impact of the delay shock</t>
  </si>
  <si>
    <t>Additional delay days</t>
  </si>
  <si>
    <t>Scenario breach rate</t>
  </si>
  <si>
    <t>Modeled incremental breaches</t>
  </si>
  <si>
    <t>Modeled incremental profit exposure</t>
  </si>
  <si>
    <t>Data Refresh | Source and Transformation Controls</t>
  </si>
  <si>
    <t>The included VBA macro uses RefreshAll. Configure the query below once in Excel, then the refresh + export process becomes one action.</t>
  </si>
  <si>
    <t>Refresh configuration</t>
  </si>
  <si>
    <t>Control</t>
  </si>
  <si>
    <t>Operational standard</t>
  </si>
  <si>
    <t>Source</t>
  </si>
  <si>
    <t>Use data/mart_lane_reliability.csv as the current operational-lane source.</t>
  </si>
  <si>
    <t>Data quality</t>
  </si>
  <si>
    <t>Trim market, shipping mode and action category; apply numeric types before loading the lane table.</t>
  </si>
  <si>
    <t>Load target</t>
  </si>
  <si>
    <t>Replace the Refresh Data table named tblLaneData so downstream controls continue to work.</t>
  </si>
  <si>
    <t>Refresh cadence</t>
  </si>
  <si>
    <t>Refresh before exception review; run the export macro only after the updated figures have been checked.</t>
  </si>
  <si>
    <t>Transformation logic</t>
  </si>
  <si>
    <t>let
    Source = Csv.Document(File.Contents("D:\Personal Projects\Supply chain\.codex-work\supply-chain-excel\\..\\..\\data\\mart_lane_reliability.csv"), [Delimiter=",", Encoding=65001, QuoteStyle=QuoteStyle.Csv]),
    PromotedHeaders = Table.PromoteHeaders(Source, [PromoteAllScalars=true]),
    TrimmedText = Table.TransformColumns(PromotedHeaders, {{"market", Text.Trim, type text}, {"shipping_mode", Text.Trim, type text}, {"action_category", Text.Trim, type text}}),
    Typed = Table.TransformColumnTypes(TrimmedText, {{"order_count", Int64.Type}, {"breach_count", Int64.Type}, {"breach_rate_pct", type number}, {"avg_delay_days", type number}, {"profit_at_risk", Currency.Type}})
in
    Typed</t>
  </si>
  <si>
    <t>Interactive PivotTable â€” filter with slicers</t>
  </si>
  <si>
    <t>Macro source is included as RefreshAndExport.bas; import it in the VBA editor if Trust Center access is disabled.</t>
  </si>
  <si>
    <t>CSV source path</t>
  </si>
  <si>
    <t>D:\Personal Projects\Supply chain\data\mart_lane_reliability.csv</t>
  </si>
  <si>
    <t>Query name</t>
  </si>
  <si>
    <t>qryLaneData</t>
  </si>
  <si>
    <t>Cleaning steps</t>
  </si>
  <si>
    <t>Promote headers; trim text fields; set numeric data types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</si>
</sst>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quot;$&quot;#,##0"/>
  </numFmts>
  <fonts count="6">
    <font>
      <sz val="11"/>
      <name val="Carlito"/>
    </font>
    <font>
      <b/>
      <sz val="16"/>
      <color rgb="FFFFFFFF"/>
      <name val="Carlito"/>
    </font>
    <font>
      <i/>
      <sz val="11"/>
      <name val="Carlito"/>
    </font>
    <font>
      <b/>
      <sz val="11"/>
      <color rgb="FFFFFFFF"/>
      <name val="Carlito"/>
    </font>
    <font>
      <b/>
      <sz val="11"/>
      <name val="Carlito"/>
    </font>
    <font>
      <sz val="9"/>
      <name val="Consolas"/>
    </font>
  </fonts>
  <fills count="9">
    <fill>
      <patternFill patternType="none"/>
    </fill>
    <fill>
      <patternFill patternType="gray125"/>
    </fill>
    <fill>
      <patternFill patternType="solid">
        <fgColor rgb="FF17365D"/>
      </patternFill>
    </fill>
    <fill>
      <patternFill patternType="solid">
        <fgColor rgb="FFD9EAF7"/>
      </patternFill>
    </fill>
    <fill>
      <patternFill patternType="solid">
        <fgColor rgb="FF1F4E78"/>
      </patternFill>
    </fill>
    <fill>
      <patternFill patternType="solid">
        <fgColor rgb="FFFFF2CC"/>
      </patternFill>
    </fill>
    <fill>
      <patternFill patternType="solid">
        <fgColor rgb="FFE2F0D9"/>
      </patternFill>
    </fill>
    <fill>
      <patternFill patternType="solid">
        <fgColor rgb="FFF3F6FA"/>
      </patternFill>
    </fill>
    <fill>
      <patternFill patternType="solid">
        <fgColor rgb="FFFFCC99"/>
        <bgColor indexed="64"/>
      </patternFill>
    </fill>
  </fills>
  <borders count="13">
    <border>
      <left/>
      <right/>
      <top/>
      <bottom/>
      <diagonal/>
    </border>
    <border>
      <left style="thin">
        <color rgb="FFD9E2F3"/>
      </left>
      <right/>
      <top style="thin">
        <color rgb="FFD9E2F3"/>
      </top>
      <bottom style="thin">
        <color rgb="FFD9E2F3"/>
      </bottom>
      <diagonal/>
    </border>
    <border>
      <left/>
      <right style="thin">
        <color rgb="FFD9E2F3"/>
      </right>
      <top style="thin">
        <color rgb="FFD9E2F3"/>
      </top>
      <bottom style="thin">
        <color rgb="FFD9E2F3"/>
      </bottom>
      <diagonal/>
    </border>
    <border>
      <left style="thin">
        <color rgb="FFD9E2F3"/>
      </left>
      <right/>
      <top style="thin">
        <color rgb="FFD9E2F3"/>
      </top>
      <bottom/>
      <diagonal/>
    </border>
    <border>
      <left/>
      <right style="thin">
        <color rgb="FFD9E2F3"/>
      </right>
      <top style="thin">
        <color rgb="FFD9E2F3"/>
      </top>
      <bottom/>
      <diagonal/>
    </border>
    <border>
      <left style="thin">
        <color rgb="FFD9E2F3"/>
      </left>
      <right/>
      <top/>
      <bottom/>
      <diagonal/>
    </border>
    <border>
      <left/>
      <right style="thin">
        <color rgb="FFD9E2F3"/>
      </right>
      <top/>
      <bottom/>
      <diagonal/>
    </border>
    <border>
      <left style="thin">
        <color rgb="FFD9E2F3"/>
      </left>
      <right/>
      <top/>
      <bottom style="thin">
        <color rgb="FFD9E2F3"/>
      </bottom>
      <diagonal/>
    </border>
    <border>
      <left/>
      <right style="thin">
        <color rgb="FFD9E2F3"/>
      </right>
      <top/>
      <bottom style="thin">
        <color rgb="FFD9E2F3"/>
      </bottom>
      <diagonal/>
    </border>
    <border>
      <left/>
      <right/>
      <top style="thin">
        <color rgb="FFD9E2F3"/>
      </top>
      <bottom style="thin">
        <color rgb="FFD9E2F3"/>
      </bottom>
      <diagonal/>
    </border>
    <border>
      <left/>
      <right/>
      <top style="thin">
        <color rgb="FFD9E2F3"/>
      </top>
      <bottom/>
      <diagonal/>
    </border>
    <border>
      <left/>
      <right/>
      <top/>
      <bottom style="thin">
        <color rgb="FFD9E2F3"/>
      </bottom>
      <diagonal/>
    </border>
    <border>
      <left style="thin">
        <color rgb="FFD9E2F3"/>
      </left>
      <right style="thin">
        <color rgb="FFD9E2F3"/>
      </right>
      <top style="thin">
        <color rgb="FFD9E2F3"/>
      </top>
      <bottom style="thin">
        <color rgb="FFD9E2F3"/>
      </bottom>
      <diagonal/>
    </border>
  </borders>
  <cellStyleXfs count="1">
    <xf numFmtId="0" fontId="0" fillId="0" borderId="0"/>
  </cellStyleXfs>
  <cellXfs count="55">
    <xf numFmtId="0" fontId="0" fillId="0" borderId="0" xfId="0"/>
    <xf numFmtId="0" fontId="3" fillId="4" borderId="1" xfId="0" applyFont="1" applyFill="1" applyBorder="1" applyAlignment="1">
      <alignment horizontal="center" wrapText="1"/>
    </xf>
    <xf numFmtId="0" fontId="3" fillId="4" borderId="2" xfId="0" applyFont="1" applyFill="1" applyBorder="1" applyAlignment="1">
      <alignment horizont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3" xfId="0" applyBorder="1" applyAlignment="1">
      <alignment wrapText="1"/>
    </xf>
    <xf numFmtId="0" fontId="0" fillId="0" borderId="4" xfId="0" applyBorder="1" applyAlignment="1">
      <alignment wrapText="1"/>
    </xf>
    <xf numFmtId="0" fontId="0" fillId="0" borderId="5" xfId="0" applyBorder="1" applyAlignment="1">
      <alignment wrapText="1"/>
    </xf>
    <xf numFmtId="0" fontId="0" fillId="0" borderId="6" xfId="0" applyBorder="1" applyAlignment="1">
      <alignment wrapText="1"/>
    </xf>
    <xf numFmtId="0" fontId="0" fillId="0" borderId="7" xfId="0" applyBorder="1" applyAlignment="1">
      <alignment wrapText="1"/>
    </xf>
    <xf numFmtId="0" fontId="0" fillId="0" borderId="8" xfId="0" applyBorder="1" applyAlignment="1">
      <alignment wrapText="1"/>
    </xf>
    <xf numFmtId="0" fontId="3" fillId="4" borderId="9" xfId="0" applyFont="1" applyFill="1" applyBorder="1" applyAlignment="1">
      <alignment horizontal="center" wrapText="1"/>
    </xf>
    <xf numFmtId="3" fontId="0" fillId="0" borderId="0" xfId="0" applyNumberFormat="1"/>
    <xf numFmtId="164" fontId="0" fillId="0" borderId="0" xfId="0" applyNumberFormat="1"/>
    <xf numFmtId="2" fontId="0" fillId="0" borderId="0" xfId="0" applyNumberFormat="1"/>
    <xf numFmtId="165" fontId="0" fillId="0" borderId="0" xfId="0" applyNumberFormat="1"/>
    <xf numFmtId="0" fontId="3" fillId="4" borderId="9" xfId="0" applyFont="1" applyFill="1" applyBorder="1" applyAlignment="1">
      <alignment horizontal="right" wrapText="1"/>
    </xf>
    <xf numFmtId="3" fontId="0" fillId="0" borderId="0" xfId="0" applyNumberFormat="1" applyAlignment="1">
      <alignment horizontal="right"/>
    </xf>
    <xf numFmtId="164" fontId="0" fillId="0" borderId="0" xfId="0" applyNumberFormat="1" applyAlignment="1">
      <alignment horizontal="right"/>
    </xf>
    <xf numFmtId="2" fontId="0" fillId="0" borderId="0" xfId="0" applyNumberFormat="1" applyAlignment="1">
      <alignment horizontal="right"/>
    </xf>
    <xf numFmtId="165" fontId="0" fillId="0" borderId="0" xfId="0" applyNumberFormat="1" applyAlignment="1">
      <alignment horizontal="right"/>
    </xf>
    <xf numFmtId="0" fontId="0" fillId="0" borderId="10" xfId="0" applyBorder="1"/>
    <xf numFmtId="0" fontId="0" fillId="0" borderId="11" xfId="0" applyBorder="1"/>
    <xf numFmtId="3" fontId="0" fillId="0" borderId="10" xfId="0" applyNumberFormat="1" applyBorder="1"/>
    <xf numFmtId="3" fontId="0" fillId="0" borderId="11" xfId="0" applyNumberFormat="1" applyBorder="1"/>
    <xf numFmtId="164" fontId="0" fillId="0" borderId="10" xfId="0" applyNumberFormat="1" applyBorder="1"/>
    <xf numFmtId="164" fontId="0" fillId="0" borderId="11" xfId="0" applyNumberFormat="1" applyBorder="1"/>
    <xf numFmtId="2" fontId="0" fillId="0" borderId="10" xfId="0" applyNumberFormat="1" applyBorder="1"/>
    <xf numFmtId="2" fontId="0" fillId="0" borderId="11" xfId="0" applyNumberFormat="1" applyBorder="1"/>
    <xf numFmtId="165" fontId="0" fillId="0" borderId="10" xfId="0" applyNumberFormat="1" applyBorder="1"/>
    <xf numFmtId="165" fontId="0" fillId="0" borderId="11" xfId="0" applyNumberFormat="1" applyBorder="1"/>
    <xf numFmtId="0" fontId="4" fillId="5" borderId="1" xfId="0" applyFont="1" applyFill="1" applyBorder="1"/>
    <xf numFmtId="0" fontId="4" fillId="5" borderId="2" xfId="0" applyFont="1" applyFill="1" applyBorder="1"/>
    <xf numFmtId="3" fontId="4" fillId="6" borderId="1" xfId="0" applyNumberFormat="1" applyFont="1" applyFill="1" applyBorder="1" applyAlignment="1">
      <alignment horizontal="right"/>
    </xf>
    <xf numFmtId="3" fontId="4" fillId="6" borderId="9" xfId="0" applyNumberFormat="1" applyFont="1" applyFill="1" applyBorder="1" applyAlignment="1">
      <alignment horizontal="right"/>
    </xf>
    <xf numFmtId="165" fontId="4" fillId="6" borderId="2" xfId="0" applyNumberFormat="1" applyFont="1" applyFill="1" applyBorder="1" applyAlignment="1">
      <alignment horizontal="right"/>
    </xf>
    <xf numFmtId="164" fontId="4" fillId="5" borderId="4" xfId="0" applyNumberFormat="1" applyFont="1" applyFill="1" applyBorder="1"/>
    <xf numFmtId="0" fontId="4" fillId="5" borderId="6" xfId="0" applyFont="1" applyFill="1" applyBorder="1"/>
    <xf numFmtId="3" fontId="0" fillId="0" borderId="6" xfId="0" applyNumberFormat="1" applyBorder="1"/>
    <xf numFmtId="164" fontId="0" fillId="0" borderId="6" xfId="0" applyNumberFormat="1" applyBorder="1"/>
    <xf numFmtId="2" fontId="0" fillId="0" borderId="6" xfId="0" applyNumberFormat="1" applyBorder="1"/>
    <xf numFmtId="165" fontId="0" fillId="0" borderId="6" xfId="0" applyNumberFormat="1" applyBorder="1"/>
    <xf numFmtId="165" fontId="0" fillId="0" borderId="8" xfId="0" applyNumberFormat="1" applyBorder="1"/>
    <xf numFmtId="0" fontId="1" fillId="2" borderId="0" xfId="0" applyFont="1" applyFill="1" applyAlignment="1">
      <alignment horizontal="left" vertical="center"/>
    </xf>
    <xf numFmtId="0" fontId="2" fillId="3" borderId="0" xfId="0" applyFont="1" applyFill="1" applyAlignment="1">
      <alignment wrapText="1"/>
    </xf>
    <xf numFmtId="0" fontId="0" fillId="0" borderId="0" xfId="0"/>
    <xf numFmtId="0" fontId="3" fillId="4" borderId="0" xfId="0" applyFont="1" applyFill="1" applyAlignment="1">
      <alignment horizontal="left"/>
    </xf>
    <xf numFmtId="0" fontId="3" fillId="4" borderId="5" xfId="0" applyFont="1" applyFill="1" applyBorder="1" applyAlignment="1">
      <alignment horizontal="left"/>
    </xf>
    <xf numFmtId="0" fontId="3" fillId="4" borderId="6" xfId="0" applyFont="1" applyFill="1" applyBorder="1" applyAlignment="1">
      <alignment horizontal="left"/>
    </xf>
    <xf numFmtId="0" fontId="5" fillId="7" borderId="12" xfId="0" applyFont="1" applyFill="1" applyBorder="1" applyAlignment="1">
      <alignment vertical="top" wrapText="1"/>
    </xf>
    <xf numFmtId="0" fontId="4" fillId="8" borderId="0" xfId="0" applyFont="1" applyFill="1"/>
  </cellXfs>
  <cellStyles count="1">
    <cellStyle name="Normal" xfId="0" builtinId="0"/>
  </cellStyles>
  <dxfs count="2">
    <dxf>
      <font>
        <b/>
        <color rgb="FF9C0006"/>
      </font>
      <fill>
        <patternFill patternType="solid">
          <bgColor rgb="FFF4CCCC"/>
        </patternFill>
      </fill>
    </dxf>
    <dxf>
      <font>
        <b/>
        <color rgb="FF9C0006"/>
      </font>
      <fill>
        <patternFill patternType="solid">
          <bgColor rgb="FFF4CC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17/06/relationships/rdRichValue" Target="richData/rdrichvalue.xml"/></Relationships>
</file>

<file path=xl/drawings/drawing1.xml><?xml version="1.0" encoding="utf-8"?>
<xdr:wsDr xmlns:xdr="http://schemas.openxmlformats.org/drawingml/2006/spreadsheetDrawing" xmlns:a="http://schemas.openxmlformats.org/drawingml/2006/main">
  <xdr:twoCellAnchor editAs="oneCell">
    <xdr:from>
      <xdr:col>9</xdr:col>
      <xdr:colOff>574675</xdr:colOff>
      <xdr:row>0</xdr:row>
      <xdr:rowOff>254000</xdr:rowOff>
    </xdr:from>
    <xdr:to>
      <xdr:col>11</xdr:col>
      <xdr:colOff>206375</xdr:colOff>
      <xdr:row>9</xdr:row>
      <xdr:rowOff>149225</xdr:rowOff>
    </xdr:to>
    <mc:AlternateContent xmlns:mc="http://schemas.openxmlformats.org/markup-compatibility/2006">
      <mc:Choice xmlns:a14="http://schemas.microsoft.com/office/drawing/2010/main" Requires="a14">
        <xdr:graphicFrame macro="">
          <xdr:nvGraphicFramePr>
            <xdr:cNvPr id="2" name="market">
              <a:extLst>
                <a:ext uri="{FF2B5EF4-FFF2-40B4-BE49-F238E27FC236}">
                  <a16:creationId xmlns:a16="http://schemas.microsoft.com/office/drawing/2014/main" id="{73A2B912-B31E-6968-AA6B-41D2B373E83F}"/>
                </a:ext>
              </a:extLst>
            </xdr:cNvPr>
            <xdr:cNvGraphicFramePr/>
          </xdr:nvGraphicFramePr>
          <xdr:xfrm>
            <a:off x="0" y="0"/>
            <a:ext cx="0" cy="0"/>
          </xdr:xfrm>
          <a:graphic>
            <a:graphicData uri="http://schemas.microsoft.com/office/drawing/2010/slicer">
              <sle:slicer xmlns:sle="http://schemas.microsoft.com/office/drawing/2010/slicer" name="market"/>
            </a:graphicData>
          </a:graphic>
        </xdr:graphicFrame>
      </mc:Choice>
      <mc:Fallback>
        <xdr:sp macro="" textlink="">
          <xdr:nvSpPr>
            <xdr:cNvPr id="0" name=""/>
            <xdr:cNvSpPr>
              <a:spLocks noTextEdit="1"/>
            </xdr:cNvSpPr>
          </xdr:nvSpPr>
          <xdr:spPr>
            <a:xfrm>
              <a:off x="8128000" y="254000"/>
              <a:ext cx="1651000" cy="1905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574675</xdr:colOff>
      <xdr:row>10</xdr:row>
      <xdr:rowOff>95250</xdr:rowOff>
    </xdr:from>
    <xdr:to>
      <xdr:col>11</xdr:col>
      <xdr:colOff>206375</xdr:colOff>
      <xdr:row>22</xdr:row>
      <xdr:rowOff>82550</xdr:rowOff>
    </xdr:to>
    <mc:AlternateContent xmlns:mc="http://schemas.openxmlformats.org/markup-compatibility/2006">
      <mc:Choice xmlns:a14="http://schemas.microsoft.com/office/drawing/2010/main" Requires="a14">
        <xdr:graphicFrame macro="">
          <xdr:nvGraphicFramePr>
            <xdr:cNvPr id="3" name="shipping_mode">
              <a:extLst>
                <a:ext uri="{FF2B5EF4-FFF2-40B4-BE49-F238E27FC236}">
                  <a16:creationId xmlns:a16="http://schemas.microsoft.com/office/drawing/2014/main" id="{6A59C916-57E6-EF0F-3F3B-7D15A79EBCA9}"/>
                </a:ext>
              </a:extLst>
            </xdr:cNvPr>
            <xdr:cNvGraphicFramePr/>
          </xdr:nvGraphicFramePr>
          <xdr:xfrm>
            <a:off x="0" y="0"/>
            <a:ext cx="0" cy="0"/>
          </xdr:xfrm>
          <a:graphic>
            <a:graphicData uri="http://schemas.microsoft.com/office/drawing/2010/slicer">
              <sle:slicer xmlns:sle="http://schemas.microsoft.com/office/drawing/2010/slicer" name="shipping_mode"/>
            </a:graphicData>
          </a:graphic>
        </xdr:graphicFrame>
      </mc:Choice>
      <mc:Fallback>
        <xdr:sp macro="" textlink="">
          <xdr:nvSpPr>
            <xdr:cNvPr id="0" name=""/>
            <xdr:cNvSpPr>
              <a:spLocks noTextEdit="1"/>
            </xdr:cNvSpPr>
          </xdr:nvSpPr>
          <xdr:spPr>
            <a:xfrm>
              <a:off x="8128000" y="2286000"/>
              <a:ext cx="1651000" cy="2159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day Prakash" refreshedDate="46213.452103356482" createdVersion="8" refreshedVersion="8" minRefreshableVersion="3" recordCount="19" xr:uid="{AC8BB25A-C325-48C1-B68C-9554AB937296}">
  <cacheSource type="worksheet">
    <worksheetSource ref="A6:L25" sheet="Refresh Data"/>
  </cacheSource>
  <cacheFields count="12">
    <cacheField name="market" numFmtId="0">
      <sharedItems count="5">
        <s v="Europe"/>
        <s v="LATAM"/>
        <s v="Pacific Asia"/>
        <s v="USCA"/>
        <s v="Africa"/>
      </sharedItems>
    </cacheField>
    <cacheField name="shipping_mode" numFmtId="0">
      <sharedItems count="4">
        <s v="Standard Class"/>
        <s v="Second Class"/>
        <s v="Same Day"/>
        <s v="First Class"/>
      </sharedItems>
    </cacheField>
    <cacheField name="order_count" numFmtId="3">
      <sharedItems containsSemiMixedTypes="0" containsString="0" containsNumber="1" containsInteger="1" minValue="466" maxValue="11075"/>
    </cacheField>
    <cacheField name="breach_count" numFmtId="3">
      <sharedItems containsSemiMixedTypes="0" containsString="0" containsNumber="1" containsInteger="1" minValue="208" maxValue="4417"/>
    </cacheField>
    <cacheField name="breach_rate_pct" numFmtId="164">
      <sharedItems containsSemiMixedTypes="0" containsString="0" containsNumber="1" minValue="39.450000000000003" maxValue="100"/>
    </cacheField>
    <cacheField name="breach_share_pct" numFmtId="164">
      <sharedItems containsSemiMixedTypes="0" containsString="0" containsNumber="1" minValue="0.55000000000000004" maxValue="11.75"/>
    </cacheField>
    <cacheField name="avg_delay_days" numFmtId="2">
      <sharedItems containsSemiMixedTypes="0" containsString="0" containsNumber="1" minValue="-0.01" maxValue="2.0099999999999998"/>
    </cacheField>
    <cacheField name="delay_sd" numFmtId="2">
      <sharedItems containsSemiMixedTypes="0" containsString="0" containsNumber="1" minValue="0" maxValue="1.42"/>
    </cacheField>
    <cacheField name="profit_at_risk" numFmtId="165">
      <sharedItems containsSemiMixedTypes="0" containsString="0" containsNumber="1" minValue="20338.55" maxValue="465247.74"/>
    </cacheField>
    <cacheField name="profit_risk_rank" numFmtId="3">
      <sharedItems containsSemiMixedTypes="0" containsString="0" containsNumber="1" containsInteger="1" minValue="1" maxValue="19"/>
    </cacheField>
    <cacheField name="variability_priority_rank" numFmtId="3">
      <sharedItems containsSemiMixedTypes="0" containsString="0" containsNumber="1" containsInteger="1" minValue="1" maxValue="19"/>
    </cacheField>
    <cacheField name="action_category" numFmtId="0">
      <sharedItems count="5">
        <s v="Stabilize"/>
        <s v="Protect"/>
        <s v="Monitor"/>
        <s v="Maintain"/>
        <s v="Review SLA Definition"/>
      </sharedItems>
    </cacheField>
  </cacheFields>
  <extLst>
    <ext xmlns:x14="http://schemas.microsoft.com/office/spreadsheetml/2009/9/main" uri="{725AE2AE-9491-48be-B2B4-4EB974FC3084}">
      <x14:pivotCacheDefinition pivotCacheId="27938172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x v="0"/>
    <n v="11075"/>
    <n v="4417"/>
    <n v="39.880000000000003"/>
    <n v="11.75"/>
    <n v="-0.01"/>
    <n v="1.42"/>
    <n v="465247.74"/>
    <n v="1"/>
    <n v="1"/>
    <x v="0"/>
  </r>
  <r>
    <x v="0"/>
    <x v="1"/>
    <n v="3609"/>
    <n v="2886"/>
    <n v="79.97"/>
    <n v="7.68"/>
    <n v="2.0099999999999998"/>
    <n v="1.42"/>
    <n v="303644.63"/>
    <n v="5"/>
    <n v="2"/>
    <x v="1"/>
  </r>
  <r>
    <x v="1"/>
    <x v="1"/>
    <n v="3307"/>
    <n v="2624"/>
    <n v="79.349999999999994"/>
    <n v="6.98"/>
    <n v="1.99"/>
    <n v="1.42"/>
    <n v="277052.94"/>
    <n v="7"/>
    <n v="3"/>
    <x v="1"/>
  </r>
  <r>
    <x v="2"/>
    <x v="0"/>
    <n v="10481"/>
    <n v="4219"/>
    <n v="40.25"/>
    <n v="11.23"/>
    <n v="0.01"/>
    <n v="1.42"/>
    <n v="354965.89"/>
    <n v="3"/>
    <n v="4"/>
    <x v="0"/>
  </r>
  <r>
    <x v="3"/>
    <x v="1"/>
    <n v="1678"/>
    <n v="1341"/>
    <n v="79.92"/>
    <n v="3.57"/>
    <n v="1.99"/>
    <n v="1.42"/>
    <n v="143942.57"/>
    <n v="11"/>
    <n v="5"/>
    <x v="0"/>
  </r>
  <r>
    <x v="1"/>
    <x v="0"/>
    <n v="10323"/>
    <n v="4072"/>
    <n v="39.450000000000003"/>
    <n v="10.83"/>
    <n v="-0.01"/>
    <n v="1.41"/>
    <n v="427166.73"/>
    <n v="2"/>
    <n v="6"/>
    <x v="0"/>
  </r>
  <r>
    <x v="4"/>
    <x v="1"/>
    <n v="715"/>
    <n v="573"/>
    <n v="80.14"/>
    <n v="1.52"/>
    <n v="1.98"/>
    <n v="1.41"/>
    <n v="56477.4"/>
    <n v="15"/>
    <n v="7"/>
    <x v="0"/>
  </r>
  <r>
    <x v="3"/>
    <x v="0"/>
    <n v="5097"/>
    <n v="2032"/>
    <n v="39.869999999999997"/>
    <n v="5.41"/>
    <n v="0"/>
    <n v="1.41"/>
    <n v="208452.86"/>
    <n v="10"/>
    <n v="8"/>
    <x v="2"/>
  </r>
  <r>
    <x v="4"/>
    <x v="0"/>
    <n v="2348"/>
    <n v="939"/>
    <n v="39.99"/>
    <n v="2.5"/>
    <n v="0.01"/>
    <n v="1.41"/>
    <n v="98827.77"/>
    <n v="13"/>
    <n v="9"/>
    <x v="3"/>
  </r>
  <r>
    <x v="2"/>
    <x v="1"/>
    <n v="3469"/>
    <n v="2789"/>
    <n v="80.400000000000006"/>
    <n v="7.42"/>
    <n v="2.0099999999999998"/>
    <n v="1.4"/>
    <n v="233471.68"/>
    <n v="8"/>
    <n v="10"/>
    <x v="1"/>
  </r>
  <r>
    <x v="1"/>
    <x v="2"/>
    <n v="913"/>
    <n v="470"/>
    <n v="51.48"/>
    <n v="1.25"/>
    <n v="0.51"/>
    <n v="0.5"/>
    <n v="42977.9"/>
    <n v="17"/>
    <n v="11"/>
    <x v="2"/>
  </r>
  <r>
    <x v="0"/>
    <x v="2"/>
    <n v="999"/>
    <n v="480"/>
    <n v="48.05"/>
    <n v="1.28"/>
    <n v="0.48"/>
    <n v="0.5"/>
    <n v="47960.83"/>
    <n v="16"/>
    <n v="12"/>
    <x v="2"/>
  </r>
  <r>
    <x v="2"/>
    <x v="2"/>
    <n v="959"/>
    <n v="456"/>
    <n v="47.55"/>
    <n v="1.21"/>
    <n v="0.48"/>
    <n v="0.5"/>
    <n v="34767.35"/>
    <n v="18"/>
    <n v="13"/>
    <x v="3"/>
  </r>
  <r>
    <x v="3"/>
    <x v="2"/>
    <n v="466"/>
    <n v="208"/>
    <n v="44.64"/>
    <n v="0.55000000000000004"/>
    <n v="0.45"/>
    <n v="0.5"/>
    <n v="20338.55"/>
    <n v="19"/>
    <n v="14"/>
    <x v="3"/>
  </r>
  <r>
    <x v="0"/>
    <x v="3"/>
    <n v="2878"/>
    <n v="2878"/>
    <n v="100"/>
    <n v="7.66"/>
    <n v="1"/>
    <n v="0"/>
    <n v="309902.77"/>
    <n v="4"/>
    <n v="15"/>
    <x v="4"/>
  </r>
  <r>
    <x v="2"/>
    <x v="3"/>
    <n v="2668"/>
    <n v="2668"/>
    <n v="100"/>
    <n v="7.1"/>
    <n v="1"/>
    <n v="0"/>
    <n v="233132.37"/>
    <n v="9"/>
    <n v="16"/>
    <x v="4"/>
  </r>
  <r>
    <x v="1"/>
    <x v="3"/>
    <n v="2638"/>
    <n v="2638"/>
    <n v="100"/>
    <n v="7.02"/>
    <n v="1"/>
    <n v="0"/>
    <n v="284501.2"/>
    <n v="6"/>
    <n v="17"/>
    <x v="4"/>
  </r>
  <r>
    <x v="3"/>
    <x v="3"/>
    <n v="1338"/>
    <n v="1338"/>
    <n v="100"/>
    <n v="3.56"/>
    <n v="1"/>
    <n v="0"/>
    <n v="139139.09"/>
    <n v="12"/>
    <n v="18"/>
    <x v="4"/>
  </r>
  <r>
    <x v="4"/>
    <x v="3"/>
    <n v="557"/>
    <n v="557"/>
    <n v="100"/>
    <n v="1.48"/>
    <n v="1"/>
    <n v="0"/>
    <n v="60050.09"/>
    <n v="14"/>
    <n v="19"/>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04A67C2-BA4E-4BE7-BC57-8694C7E9178B}" name="pvtLaneExceptions" cacheId="5"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J6" firstHeaderRow="0" firstDataRow="0" firstDataCol="0"/>
  <pivotFields count="12">
    <pivotField axis="axisRow" showAll="0">
      <items count="6">
        <item x="4"/>
        <item x="0"/>
        <item x="1"/>
        <item x="2"/>
        <item x="3"/>
        <item t="default"/>
      </items>
    </pivotField>
    <pivotField axis="axisRow" showAll="0">
      <items count="5">
        <item x="3"/>
        <item x="2"/>
        <item x="1"/>
        <item x="0"/>
        <item t="default"/>
      </items>
    </pivotField>
    <pivotField numFmtId="3" showAll="0"/>
    <pivotField dataField="1" numFmtId="3" showAll="0"/>
    <pivotField numFmtId="164" showAll="0"/>
    <pivotField numFmtId="164" showAll="0"/>
    <pivotField numFmtId="2" showAll="0"/>
    <pivotField numFmtId="2" showAll="0"/>
    <pivotField dataField="1" numFmtId="165" showAll="0"/>
    <pivotField numFmtId="3" showAll="0"/>
    <pivotField numFmtId="3" showAll="0"/>
    <pivotField axis="axisPage" showAll="0">
      <items count="6">
        <item x="3"/>
        <item x="2"/>
        <item x="1"/>
        <item x="4"/>
        <item x="0"/>
        <item t="default"/>
      </items>
    </pivotField>
  </pivotFields>
  <rowFields count="2">
    <field x="0"/>
    <field x="1"/>
  </rowFields>
  <rowItems count="25">
    <i>
      <x/>
    </i>
    <i r="1">
      <x/>
    </i>
    <i r="1">
      <x v="2"/>
    </i>
    <i r="1">
      <x v="3"/>
    </i>
    <i>
      <x v="1"/>
    </i>
    <i r="1">
      <x/>
    </i>
    <i r="1">
      <x v="1"/>
    </i>
    <i r="1">
      <x v="2"/>
    </i>
    <i r="1">
      <x v="3"/>
    </i>
    <i>
      <x v="2"/>
    </i>
    <i r="1">
      <x/>
    </i>
    <i r="1">
      <x v="1"/>
    </i>
    <i r="1">
      <x v="2"/>
    </i>
    <i r="1">
      <x v="3"/>
    </i>
    <i>
      <x v="3"/>
    </i>
    <i r="1">
      <x/>
    </i>
    <i r="1">
      <x v="1"/>
    </i>
    <i r="1">
      <x v="2"/>
    </i>
    <i r="1">
      <x v="3"/>
    </i>
    <i>
      <x v="4"/>
    </i>
    <i r="1">
      <x/>
    </i>
    <i r="1">
      <x v="1"/>
    </i>
    <i r="1">
      <x v="2"/>
    </i>
    <i r="1">
      <x v="3"/>
    </i>
    <i t="grand">
      <x/>
    </i>
  </rowItems>
  <colFields count="1">
    <field x="-2"/>
  </colFields>
  <colItems count="2">
    <i>
      <x/>
    </i>
    <i i="1">
      <x v="1"/>
    </i>
  </colItems>
  <pageFields count="1">
    <pageField fld="11" hier="-1"/>
  </pageFields>
  <dataFields count="2">
    <dataField name="Total Breaches" fld="3" baseField="0" baseItem="0" numFmtId="3"/>
    <dataField name="Total Profit at Risk" fld="8"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2</v>
    <v>8</v>
    <v>25</v>
    <v>7</v>
  </rv>
</rvData>
</file>

<file path=xl/richData/rdrichvaluestructure.xml><?xml version="1.0" encoding="utf-8"?>
<rvStructures xmlns="http://schemas.microsoft.com/office/spreadsheetml/2017/richdata" count="1">
  <s t="_error">
    <k n="colOffset" t="i"/>
    <k n="errorType" t="i"/>
    <k n="rwOffset"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Market" xr10:uid="{43E934F6-7577-4475-92B7-8E8D27609AB7}" sourceName="market">
  <pivotTables>
    <pivotTable tabId="3" name="pvtLaneExceptions"/>
  </pivotTables>
  <data>
    <tabular pivotCacheId="279381724">
      <items count="5">
        <i x="4" s="1"/>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ShippingMode" xr10:uid="{E8B30785-FC13-47F9-AF19-E050F38E487D}" sourceName="shipping_mode">
  <pivotTables>
    <pivotTable tabId="3" name="pvtLaneExceptions"/>
  </pivotTables>
  <data>
    <tabular pivotCacheId="279381724">
      <items count="4">
        <i x="3" s="1"/>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ket" xr10:uid="{EF744A2C-A6AE-4132-99B6-15D474808448}" cache="slcMarket" caption="Market" rowHeight="241300"/>
  <slicer name="shipping_mode" xr10:uid="{74EF8F30-A265-454F-AD4F-C630BCD0EBEE}" cache="slcShippingMode" caption="Shipping Mod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LaneData" displayName="tblLaneData" ref="A6:L25" totalsRowShown="0">
  <tableColumns count="12">
    <tableColumn id="1" xr3:uid="{00000000-0010-0000-0000-000001000000}" name="market"/>
    <tableColumn id="2" xr3:uid="{00000000-0010-0000-0000-000002000000}" name="shipping_mode"/>
    <tableColumn id="3" xr3:uid="{00000000-0010-0000-0000-000003000000}" name="order_count"/>
    <tableColumn id="4" xr3:uid="{00000000-0010-0000-0000-000004000000}" name="breach_count"/>
    <tableColumn id="5" xr3:uid="{00000000-0010-0000-0000-000005000000}" name="breach_rate_pct"/>
    <tableColumn id="6" xr3:uid="{00000000-0010-0000-0000-000006000000}" name="breach_share_pct"/>
    <tableColumn id="7" xr3:uid="{00000000-0010-0000-0000-000007000000}" name="avg_delay_days"/>
    <tableColumn id="8" xr3:uid="{00000000-0010-0000-0000-000008000000}" name="delay_sd"/>
    <tableColumn id="9" xr3:uid="{00000000-0010-0000-0000-000009000000}" name="profit_at_risk"/>
    <tableColumn id="10" xr3:uid="{00000000-0010-0000-0000-00000A000000}" name="profit_risk_rank"/>
    <tableColumn id="11" xr3:uid="{00000000-0010-0000-0000-00000B000000}" name="variability_priority_rank"/>
    <tableColumn id="12" xr3:uid="{00000000-0010-0000-0000-00000C000000}" name="action_category"/>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10"/>
  <sheetViews>
    <sheetView showGridLines="0" tabSelected="1" workbookViewId="0">
      <selection sqref="A1:H1"/>
    </sheetView>
  </sheetViews>
  <sheetFormatPr defaultRowHeight="14.25"/>
  <cols>
    <col min="1" max="1" width="23" customWidth="1"/>
    <col min="2" max="2" width="90" customWidth="1"/>
    <col min="3" max="8" width="15" customWidth="1"/>
  </cols>
  <sheetData>
    <row r="1" spans="1:8" ht="19.149999999999999" customHeight="1">
      <c r="A1" s="47" t="s">
        <v>0</v>
      </c>
      <c r="B1" s="47" t="s">
        <v>0</v>
      </c>
      <c r="C1" s="47" t="s">
        <v>0</v>
      </c>
      <c r="D1" s="47" t="s">
        <v>0</v>
      </c>
      <c r="E1" s="47" t="s">
        <v>0</v>
      </c>
      <c r="F1" s="47" t="s">
        <v>0</v>
      </c>
      <c r="G1" s="47" t="s">
        <v>0</v>
      </c>
      <c r="H1" s="47" t="s">
        <v>0</v>
      </c>
    </row>
    <row r="3" spans="1:8" ht="15" customHeight="1">
      <c r="A3" s="48" t="s">
        <v>1</v>
      </c>
      <c r="B3" s="49"/>
      <c r="C3" s="49"/>
      <c r="D3" s="49"/>
      <c r="E3" s="49"/>
      <c r="F3" s="49"/>
      <c r="G3" s="49"/>
      <c r="H3" s="49"/>
    </row>
    <row r="5" spans="1:8" ht="15" customHeight="1">
      <c r="A5" s="50" t="s">
        <v>2</v>
      </c>
      <c r="B5" s="50" t="s">
        <v>2</v>
      </c>
      <c r="C5" s="50" t="s">
        <v>2</v>
      </c>
      <c r="D5" s="50" t="s">
        <v>2</v>
      </c>
      <c r="E5" s="50" t="s">
        <v>2</v>
      </c>
      <c r="F5" s="50" t="s">
        <v>2</v>
      </c>
      <c r="G5" s="50" t="s">
        <v>2</v>
      </c>
      <c r="H5" s="50" t="s">
        <v>2</v>
      </c>
    </row>
    <row r="6" spans="1:8" ht="15" customHeight="1">
      <c r="A6" s="1" t="s">
        <v>3</v>
      </c>
      <c r="B6" s="2" t="s">
        <v>4</v>
      </c>
    </row>
    <row r="7" spans="1:8" ht="26.45" customHeight="1">
      <c r="A7" s="9" t="s">
        <v>5</v>
      </c>
      <c r="B7" s="10" t="s">
        <v>6</v>
      </c>
    </row>
    <row r="8" spans="1:8" ht="15" customHeight="1">
      <c r="A8" s="11" t="s">
        <v>7</v>
      </c>
      <c r="B8" s="12" t="s">
        <v>8</v>
      </c>
    </row>
    <row r="9" spans="1:8" ht="15" customHeight="1">
      <c r="A9" s="11" t="s">
        <v>9</v>
      </c>
      <c r="B9" s="12" t="s">
        <v>10</v>
      </c>
    </row>
    <row r="10" spans="1:8" ht="15" customHeight="1">
      <c r="A10" s="13" t="s">
        <v>11</v>
      </c>
      <c r="B10" s="14" t="s">
        <v>12</v>
      </c>
    </row>
  </sheetData>
  <mergeCells count="3">
    <mergeCell ref="A1:H1"/>
    <mergeCell ref="A3:H3"/>
    <mergeCell ref="A5:H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L25"/>
  <sheetViews>
    <sheetView showGridLines="0" workbookViewId="0"/>
  </sheetViews>
  <sheetFormatPr defaultRowHeight="14.25"/>
  <cols>
    <col min="1" max="1" width="8.75" customWidth="1"/>
    <col min="2" max="2" width="14.75" customWidth="1"/>
    <col min="3" max="3" width="12.5" customWidth="1"/>
    <col min="4" max="4" width="13.5" customWidth="1"/>
    <col min="5" max="5" width="15.5" customWidth="1"/>
    <col min="6" max="6" width="16.625" customWidth="1"/>
    <col min="7" max="7" width="15" customWidth="1"/>
    <col min="8" max="8" width="9.75" customWidth="1"/>
    <col min="9" max="9" width="13.375" customWidth="1"/>
    <col min="10" max="10" width="15.25" customWidth="1"/>
    <col min="11" max="11" width="21.5" customWidth="1"/>
    <col min="12" max="12" width="25" customWidth="1"/>
  </cols>
  <sheetData>
    <row r="1" spans="1:12" ht="27.95" customHeight="1">
      <c r="A1" s="47" t="s">
        <v>13</v>
      </c>
      <c r="B1" s="47" t="s">
        <v>13</v>
      </c>
      <c r="C1" s="47" t="s">
        <v>13</v>
      </c>
      <c r="D1" s="47" t="s">
        <v>13</v>
      </c>
      <c r="E1" s="47" t="s">
        <v>13</v>
      </c>
      <c r="F1" s="47" t="s">
        <v>13</v>
      </c>
      <c r="G1" s="47" t="s">
        <v>13</v>
      </c>
      <c r="H1" s="47" t="s">
        <v>13</v>
      </c>
      <c r="I1" s="47" t="s">
        <v>13</v>
      </c>
      <c r="J1" s="47" t="s">
        <v>13</v>
      </c>
      <c r="K1" s="47" t="s">
        <v>13</v>
      </c>
      <c r="L1" s="47" t="s">
        <v>13</v>
      </c>
    </row>
    <row r="3" spans="1:12">
      <c r="A3" s="48" t="s">
        <v>14</v>
      </c>
      <c r="B3" s="49"/>
      <c r="C3" s="49"/>
      <c r="D3" s="49"/>
      <c r="E3" s="49"/>
      <c r="F3" s="49"/>
      <c r="G3" s="49"/>
      <c r="H3" s="49"/>
      <c r="I3" s="49"/>
      <c r="J3" s="49"/>
      <c r="K3" s="49"/>
      <c r="L3" s="49"/>
    </row>
    <row r="6" spans="1:12" ht="30">
      <c r="A6" s="1" t="s">
        <v>15</v>
      </c>
      <c r="B6" s="15" t="s">
        <v>16</v>
      </c>
      <c r="C6" s="20" t="s">
        <v>17</v>
      </c>
      <c r="D6" s="20" t="s">
        <v>18</v>
      </c>
      <c r="E6" s="20" t="s">
        <v>19</v>
      </c>
      <c r="F6" s="20" t="s">
        <v>20</v>
      </c>
      <c r="G6" s="20" t="s">
        <v>21</v>
      </c>
      <c r="H6" s="20" t="s">
        <v>22</v>
      </c>
      <c r="I6" s="20" t="s">
        <v>23</v>
      </c>
      <c r="J6" s="20" t="s">
        <v>24</v>
      </c>
      <c r="K6" s="20" t="s">
        <v>25</v>
      </c>
      <c r="L6" s="2" t="s">
        <v>26</v>
      </c>
    </row>
    <row r="7" spans="1:12">
      <c r="A7" t="s">
        <v>27</v>
      </c>
      <c r="B7" t="s">
        <v>28</v>
      </c>
      <c r="C7" s="21">
        <v>11075</v>
      </c>
      <c r="D7" s="21">
        <v>4417</v>
      </c>
      <c r="E7" s="22">
        <v>39.880000000000003</v>
      </c>
      <c r="F7" s="22">
        <v>11.75</v>
      </c>
      <c r="G7" s="23">
        <v>-0.01</v>
      </c>
      <c r="H7" s="23">
        <v>1.42</v>
      </c>
      <c r="I7" s="24">
        <v>465247.74</v>
      </c>
      <c r="J7" s="21">
        <v>1</v>
      </c>
      <c r="K7" s="21">
        <v>1</v>
      </c>
      <c r="L7" t="s">
        <v>29</v>
      </c>
    </row>
    <row r="8" spans="1:12">
      <c r="A8" t="s">
        <v>27</v>
      </c>
      <c r="B8" t="s">
        <v>30</v>
      </c>
      <c r="C8" s="21">
        <v>3609</v>
      </c>
      <c r="D8" s="21">
        <v>2886</v>
      </c>
      <c r="E8" s="22">
        <v>79.97</v>
      </c>
      <c r="F8" s="22">
        <v>7.68</v>
      </c>
      <c r="G8" s="23">
        <v>2.0099999999999998</v>
      </c>
      <c r="H8" s="23">
        <v>1.42</v>
      </c>
      <c r="I8" s="24">
        <v>303644.63</v>
      </c>
      <c r="J8" s="21">
        <v>5</v>
      </c>
      <c r="K8" s="21">
        <v>2</v>
      </c>
      <c r="L8" t="s">
        <v>31</v>
      </c>
    </row>
    <row r="9" spans="1:12">
      <c r="A9" t="s">
        <v>32</v>
      </c>
      <c r="B9" t="s">
        <v>30</v>
      </c>
      <c r="C9" s="21">
        <v>3307</v>
      </c>
      <c r="D9" s="21">
        <v>2624</v>
      </c>
      <c r="E9" s="22">
        <v>79.349999999999994</v>
      </c>
      <c r="F9" s="22">
        <v>6.98</v>
      </c>
      <c r="G9" s="23">
        <v>1.99</v>
      </c>
      <c r="H9" s="23">
        <v>1.42</v>
      </c>
      <c r="I9" s="24">
        <v>277052.94</v>
      </c>
      <c r="J9" s="21">
        <v>7</v>
      </c>
      <c r="K9" s="21">
        <v>3</v>
      </c>
      <c r="L9" t="s">
        <v>31</v>
      </c>
    </row>
    <row r="10" spans="1:12">
      <c r="A10" t="s">
        <v>33</v>
      </c>
      <c r="B10" t="s">
        <v>28</v>
      </c>
      <c r="C10" s="21">
        <v>10481</v>
      </c>
      <c r="D10" s="21">
        <v>4219</v>
      </c>
      <c r="E10" s="22">
        <v>40.25</v>
      </c>
      <c r="F10" s="22">
        <v>11.23</v>
      </c>
      <c r="G10" s="23">
        <v>0.01</v>
      </c>
      <c r="H10" s="23">
        <v>1.42</v>
      </c>
      <c r="I10" s="24">
        <v>354965.89</v>
      </c>
      <c r="J10" s="21">
        <v>3</v>
      </c>
      <c r="K10" s="21">
        <v>4</v>
      </c>
      <c r="L10" t="s">
        <v>29</v>
      </c>
    </row>
    <row r="11" spans="1:12">
      <c r="A11" t="s">
        <v>34</v>
      </c>
      <c r="B11" t="s">
        <v>30</v>
      </c>
      <c r="C11" s="21">
        <v>1678</v>
      </c>
      <c r="D11" s="21">
        <v>1341</v>
      </c>
      <c r="E11" s="22">
        <v>79.92</v>
      </c>
      <c r="F11" s="22">
        <v>3.57</v>
      </c>
      <c r="G11" s="23">
        <v>1.99</v>
      </c>
      <c r="H11" s="23">
        <v>1.42</v>
      </c>
      <c r="I11" s="24">
        <v>143942.57</v>
      </c>
      <c r="J11" s="21">
        <v>11</v>
      </c>
      <c r="K11" s="21">
        <v>5</v>
      </c>
      <c r="L11" t="s">
        <v>29</v>
      </c>
    </row>
    <row r="12" spans="1:12">
      <c r="A12" t="s">
        <v>32</v>
      </c>
      <c r="B12" t="s">
        <v>28</v>
      </c>
      <c r="C12" s="21">
        <v>10323</v>
      </c>
      <c r="D12" s="21">
        <v>4072</v>
      </c>
      <c r="E12" s="22">
        <v>39.450000000000003</v>
      </c>
      <c r="F12" s="22">
        <v>10.83</v>
      </c>
      <c r="G12" s="23">
        <v>-0.01</v>
      </c>
      <c r="H12" s="23">
        <v>1.41</v>
      </c>
      <c r="I12" s="24">
        <v>427166.73</v>
      </c>
      <c r="J12" s="21">
        <v>2</v>
      </c>
      <c r="K12" s="21">
        <v>6</v>
      </c>
      <c r="L12" t="s">
        <v>29</v>
      </c>
    </row>
    <row r="13" spans="1:12">
      <c r="A13" t="s">
        <v>35</v>
      </c>
      <c r="B13" t="s">
        <v>30</v>
      </c>
      <c r="C13" s="21">
        <v>715</v>
      </c>
      <c r="D13" s="21">
        <v>573</v>
      </c>
      <c r="E13" s="22">
        <v>80.14</v>
      </c>
      <c r="F13" s="22">
        <v>1.52</v>
      </c>
      <c r="G13" s="23">
        <v>1.98</v>
      </c>
      <c r="H13" s="23">
        <v>1.41</v>
      </c>
      <c r="I13" s="24">
        <v>56477.4</v>
      </c>
      <c r="J13" s="21">
        <v>15</v>
      </c>
      <c r="K13" s="21">
        <v>7</v>
      </c>
      <c r="L13" t="s">
        <v>29</v>
      </c>
    </row>
    <row r="14" spans="1:12">
      <c r="A14" t="s">
        <v>34</v>
      </c>
      <c r="B14" t="s">
        <v>28</v>
      </c>
      <c r="C14" s="21">
        <v>5097</v>
      </c>
      <c r="D14" s="21">
        <v>2032</v>
      </c>
      <c r="E14" s="22">
        <v>39.869999999999997</v>
      </c>
      <c r="F14" s="22">
        <v>5.41</v>
      </c>
      <c r="G14" s="23">
        <v>0</v>
      </c>
      <c r="H14" s="23">
        <v>1.41</v>
      </c>
      <c r="I14" s="24">
        <v>208452.86</v>
      </c>
      <c r="J14" s="21">
        <v>10</v>
      </c>
      <c r="K14" s="21">
        <v>8</v>
      </c>
      <c r="L14" t="s">
        <v>36</v>
      </c>
    </row>
    <row r="15" spans="1:12">
      <c r="A15" t="s">
        <v>35</v>
      </c>
      <c r="B15" t="s">
        <v>28</v>
      </c>
      <c r="C15" s="21">
        <v>2348</v>
      </c>
      <c r="D15" s="21">
        <v>939</v>
      </c>
      <c r="E15" s="22">
        <v>39.99</v>
      </c>
      <c r="F15" s="22">
        <v>2.5</v>
      </c>
      <c r="G15" s="23">
        <v>0.01</v>
      </c>
      <c r="H15" s="23">
        <v>1.41</v>
      </c>
      <c r="I15" s="24">
        <v>98827.77</v>
      </c>
      <c r="J15" s="21">
        <v>13</v>
      </c>
      <c r="K15" s="21">
        <v>9</v>
      </c>
      <c r="L15" t="s">
        <v>37</v>
      </c>
    </row>
    <row r="16" spans="1:12">
      <c r="A16" t="s">
        <v>33</v>
      </c>
      <c r="B16" t="s">
        <v>30</v>
      </c>
      <c r="C16" s="21">
        <v>3469</v>
      </c>
      <c r="D16" s="21">
        <v>2789</v>
      </c>
      <c r="E16" s="22">
        <v>80.400000000000006</v>
      </c>
      <c r="F16" s="22">
        <v>7.42</v>
      </c>
      <c r="G16" s="23">
        <v>2.0099999999999998</v>
      </c>
      <c r="H16" s="23">
        <v>1.4</v>
      </c>
      <c r="I16" s="24">
        <v>233471.68</v>
      </c>
      <c r="J16" s="21">
        <v>8</v>
      </c>
      <c r="K16" s="21">
        <v>10</v>
      </c>
      <c r="L16" t="s">
        <v>31</v>
      </c>
    </row>
    <row r="17" spans="1:12">
      <c r="A17" t="s">
        <v>32</v>
      </c>
      <c r="B17" t="s">
        <v>38</v>
      </c>
      <c r="C17" s="21">
        <v>913</v>
      </c>
      <c r="D17" s="21">
        <v>470</v>
      </c>
      <c r="E17" s="22">
        <v>51.48</v>
      </c>
      <c r="F17" s="22">
        <v>1.25</v>
      </c>
      <c r="G17" s="23">
        <v>0.51</v>
      </c>
      <c r="H17" s="23">
        <v>0.5</v>
      </c>
      <c r="I17" s="24">
        <v>42977.9</v>
      </c>
      <c r="J17" s="21">
        <v>17</v>
      </c>
      <c r="K17" s="21">
        <v>11</v>
      </c>
      <c r="L17" t="s">
        <v>36</v>
      </c>
    </row>
    <row r="18" spans="1:12">
      <c r="A18" t="s">
        <v>27</v>
      </c>
      <c r="B18" t="s">
        <v>38</v>
      </c>
      <c r="C18" s="21">
        <v>999</v>
      </c>
      <c r="D18" s="21">
        <v>480</v>
      </c>
      <c r="E18" s="22">
        <v>48.05</v>
      </c>
      <c r="F18" s="22">
        <v>1.28</v>
      </c>
      <c r="G18" s="23">
        <v>0.48</v>
      </c>
      <c r="H18" s="23">
        <v>0.5</v>
      </c>
      <c r="I18" s="24">
        <v>47960.83</v>
      </c>
      <c r="J18" s="21">
        <v>16</v>
      </c>
      <c r="K18" s="21">
        <v>12</v>
      </c>
      <c r="L18" t="s">
        <v>36</v>
      </c>
    </row>
    <row r="19" spans="1:12">
      <c r="A19" t="s">
        <v>33</v>
      </c>
      <c r="B19" t="s">
        <v>38</v>
      </c>
      <c r="C19" s="21">
        <v>959</v>
      </c>
      <c r="D19" s="21">
        <v>456</v>
      </c>
      <c r="E19" s="22">
        <v>47.55</v>
      </c>
      <c r="F19" s="22">
        <v>1.21</v>
      </c>
      <c r="G19" s="23">
        <v>0.48</v>
      </c>
      <c r="H19" s="23">
        <v>0.5</v>
      </c>
      <c r="I19" s="24">
        <v>34767.35</v>
      </c>
      <c r="J19" s="21">
        <v>18</v>
      </c>
      <c r="K19" s="21">
        <v>13</v>
      </c>
      <c r="L19" t="s">
        <v>37</v>
      </c>
    </row>
    <row r="20" spans="1:12">
      <c r="A20" t="s">
        <v>34</v>
      </c>
      <c r="B20" t="s">
        <v>38</v>
      </c>
      <c r="C20" s="21">
        <v>466</v>
      </c>
      <c r="D20" s="21">
        <v>208</v>
      </c>
      <c r="E20" s="22">
        <v>44.64</v>
      </c>
      <c r="F20" s="22">
        <v>0.55000000000000004</v>
      </c>
      <c r="G20" s="23">
        <v>0.45</v>
      </c>
      <c r="H20" s="23">
        <v>0.5</v>
      </c>
      <c r="I20" s="24">
        <v>20338.55</v>
      </c>
      <c r="J20" s="21">
        <v>19</v>
      </c>
      <c r="K20" s="21">
        <v>14</v>
      </c>
      <c r="L20" t="s">
        <v>37</v>
      </c>
    </row>
    <row r="21" spans="1:12">
      <c r="A21" t="s">
        <v>27</v>
      </c>
      <c r="B21" t="s">
        <v>39</v>
      </c>
      <c r="C21" s="21">
        <v>2878</v>
      </c>
      <c r="D21" s="21">
        <v>2878</v>
      </c>
      <c r="E21" s="22">
        <v>100</v>
      </c>
      <c r="F21" s="22">
        <v>7.66</v>
      </c>
      <c r="G21" s="23">
        <v>1</v>
      </c>
      <c r="H21" s="23">
        <v>0</v>
      </c>
      <c r="I21" s="24">
        <v>309902.77</v>
      </c>
      <c r="J21" s="21">
        <v>4</v>
      </c>
      <c r="K21" s="21">
        <v>15</v>
      </c>
      <c r="L21" t="s">
        <v>40</v>
      </c>
    </row>
    <row r="22" spans="1:12">
      <c r="A22" t="s">
        <v>33</v>
      </c>
      <c r="B22" t="s">
        <v>39</v>
      </c>
      <c r="C22" s="21">
        <v>2668</v>
      </c>
      <c r="D22" s="21">
        <v>2668</v>
      </c>
      <c r="E22" s="22">
        <v>100</v>
      </c>
      <c r="F22" s="22">
        <v>7.1</v>
      </c>
      <c r="G22" s="23">
        <v>1</v>
      </c>
      <c r="H22" s="23">
        <v>0</v>
      </c>
      <c r="I22" s="24">
        <v>233132.37</v>
      </c>
      <c r="J22" s="21">
        <v>9</v>
      </c>
      <c r="K22" s="21">
        <v>16</v>
      </c>
      <c r="L22" t="s">
        <v>40</v>
      </c>
    </row>
    <row r="23" spans="1:12">
      <c r="A23" t="s">
        <v>32</v>
      </c>
      <c r="B23" t="s">
        <v>39</v>
      </c>
      <c r="C23" s="21">
        <v>2638</v>
      </c>
      <c r="D23" s="21">
        <v>2638</v>
      </c>
      <c r="E23" s="22">
        <v>100</v>
      </c>
      <c r="F23" s="22">
        <v>7.02</v>
      </c>
      <c r="G23" s="23">
        <v>1</v>
      </c>
      <c r="H23" s="23">
        <v>0</v>
      </c>
      <c r="I23" s="24">
        <v>284501.2</v>
      </c>
      <c r="J23" s="21">
        <v>6</v>
      </c>
      <c r="K23" s="21">
        <v>17</v>
      </c>
      <c r="L23" t="s">
        <v>40</v>
      </c>
    </row>
    <row r="24" spans="1:12">
      <c r="A24" t="s">
        <v>34</v>
      </c>
      <c r="B24" t="s">
        <v>39</v>
      </c>
      <c r="C24" s="21">
        <v>1338</v>
      </c>
      <c r="D24" s="21">
        <v>1338</v>
      </c>
      <c r="E24" s="22">
        <v>100</v>
      </c>
      <c r="F24" s="22">
        <v>3.56</v>
      </c>
      <c r="G24" s="23">
        <v>1</v>
      </c>
      <c r="H24" s="23">
        <v>0</v>
      </c>
      <c r="I24" s="24">
        <v>139139.09</v>
      </c>
      <c r="J24" s="21">
        <v>12</v>
      </c>
      <c r="K24" s="21">
        <v>18</v>
      </c>
      <c r="L24" t="s">
        <v>40</v>
      </c>
    </row>
    <row r="25" spans="1:12">
      <c r="A25" t="s">
        <v>35</v>
      </c>
      <c r="B25" t="s">
        <v>39</v>
      </c>
      <c r="C25" s="21">
        <v>557</v>
      </c>
      <c r="D25" s="21">
        <v>557</v>
      </c>
      <c r="E25" s="22">
        <v>100</v>
      </c>
      <c r="F25" s="22">
        <v>1.48</v>
      </c>
      <c r="G25" s="23">
        <v>1</v>
      </c>
      <c r="H25" s="23">
        <v>0</v>
      </c>
      <c r="I25" s="24">
        <v>60050.09</v>
      </c>
      <c r="J25" s="21">
        <v>14</v>
      </c>
      <c r="K25" s="21">
        <v>19</v>
      </c>
      <c r="L25" t="s">
        <v>40</v>
      </c>
    </row>
  </sheetData>
  <mergeCells count="2">
    <mergeCell ref="A1:L1"/>
    <mergeCell ref="A3:L3"/>
  </mergeCells>
  <conditionalFormatting sqref="E7:E25">
    <cfRule type="cellIs" dxfId="1" priority="2" operator="greaterThanOrEqual">
      <formula>0.7</formula>
    </cfRule>
  </conditionalFormatting>
  <conditionalFormatting sqref="I7:I25">
    <cfRule type="dataBar" priority="1">
      <dataBar>
        <cfvo type="min"/>
        <cfvo type="max"/>
        <color rgb="FF5B9BD5"/>
      </dataBar>
    </cfRule>
    <cfRule type="dataBar" priority="3">
      <dataBar>
        <cfvo type="min"/>
        <cfvo type="max"/>
        <color rgb="FF5B9BD5"/>
      </dataBar>
      <extLst>
        <ext xmlns:x14="http://schemas.microsoft.com/office/spreadsheetml/2009/9/main" uri="{B025F937-C7B1-47D3-B67F-A62EFF666E3E}">
          <x14:id>{F508F1FC-5C7D-8056-5A02-E59B4377EE92}</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F508F1FC-5C7D-8056-5A02-E59B4377EE92}">
            <x14:dataBar>
              <x14:cfvo type="min"/>
              <x14:cfvo type="max"/>
              <x14:negativeFillColor auto="1"/>
              <x14:axisColor auto="1"/>
            </x14:dataBar>
          </x14:cfRule>
          <xm:sqref>I7:I25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O31"/>
  <sheetViews>
    <sheetView showGridLines="0" workbookViewId="0"/>
  </sheetViews>
  <sheetFormatPr defaultRowHeight="14.25"/>
  <cols>
    <col min="1" max="1" width="8.75" customWidth="1"/>
    <col min="2" max="2" width="12" customWidth="1"/>
    <col min="3" max="3" width="10" customWidth="1"/>
    <col min="4" max="4" width="10.75" customWidth="1"/>
    <col min="5" max="5" width="9.625" customWidth="1"/>
    <col min="6" max="6" width="12" customWidth="1"/>
    <col min="7" max="7" width="10.25" customWidth="1"/>
    <col min="8" max="8" width="16.75" customWidth="1"/>
    <col min="10" max="10" width="17.5" bestFit="1" customWidth="1"/>
  </cols>
  <sheetData>
    <row r="1" spans="1:15" ht="27.95" customHeight="1">
      <c r="A1" s="47" t="s">
        <v>41</v>
      </c>
      <c r="B1" s="47" t="s">
        <v>41</v>
      </c>
      <c r="C1" s="47" t="s">
        <v>41</v>
      </c>
      <c r="D1" s="47" t="s">
        <v>41</v>
      </c>
      <c r="E1" s="47" t="s">
        <v>41</v>
      </c>
      <c r="F1" s="47" t="s">
        <v>41</v>
      </c>
      <c r="G1" s="47" t="s">
        <v>41</v>
      </c>
      <c r="H1" s="47" t="s">
        <v>41</v>
      </c>
    </row>
    <row r="3" spans="1:15">
      <c r="A3" s="48" t="s">
        <v>42</v>
      </c>
      <c r="B3" s="49"/>
      <c r="C3" s="49"/>
      <c r="D3" s="49"/>
      <c r="E3" s="49"/>
      <c r="F3" s="49"/>
      <c r="G3" s="49"/>
      <c r="H3" s="49"/>
    </row>
    <row r="4" spans="1:15" ht="15">
      <c r="J4" s="54" t="s">
        <v>87</v>
      </c>
      <c r="K4" s="49"/>
      <c r="L4" s="49"/>
      <c r="M4" s="49"/>
      <c r="N4" s="49"/>
      <c r="O4" s="49"/>
    </row>
    <row r="6" spans="1:15" ht="30">
      <c r="A6" s="1" t="s">
        <v>43</v>
      </c>
      <c r="B6" s="15" t="s">
        <v>44</v>
      </c>
      <c r="C6" s="15" t="s">
        <v>45</v>
      </c>
      <c r="D6" s="15" t="s">
        <v>46</v>
      </c>
      <c r="E6" s="15" t="s">
        <v>47</v>
      </c>
      <c r="F6" s="15" t="s">
        <v>48</v>
      </c>
      <c r="G6" s="15" t="s">
        <v>49</v>
      </c>
      <c r="H6" s="2" t="s">
        <v>50</v>
      </c>
      <c r="J6" s="16" t="e" vm="1">
        <v>#VALUE!</v>
      </c>
    </row>
    <row r="7" spans="1:15">
      <c r="A7" s="3" t="s">
        <v>27</v>
      </c>
      <c r="B7" s="25" t="s">
        <v>28</v>
      </c>
      <c r="C7" s="27">
        <v>11075</v>
      </c>
      <c r="D7" s="27">
        <v>4417</v>
      </c>
      <c r="E7" s="29">
        <v>0.39880000000000004</v>
      </c>
      <c r="F7" s="31">
        <v>-0.01</v>
      </c>
      <c r="G7" s="33">
        <v>465247.74</v>
      </c>
      <c r="H7" s="4" t="s">
        <v>29</v>
      </c>
    </row>
    <row r="8" spans="1:15">
      <c r="A8" s="5" t="s">
        <v>27</v>
      </c>
      <c r="B8" t="s">
        <v>30</v>
      </c>
      <c r="C8" s="16">
        <v>3609</v>
      </c>
      <c r="D8" s="16">
        <v>2886</v>
      </c>
      <c r="E8" s="17">
        <v>0.79969999999999997</v>
      </c>
      <c r="F8" s="18">
        <v>2.0099999999999998</v>
      </c>
      <c r="G8" s="19">
        <v>303644.63</v>
      </c>
      <c r="H8" s="6" t="s">
        <v>31</v>
      </c>
    </row>
    <row r="9" spans="1:15">
      <c r="A9" s="5" t="s">
        <v>32</v>
      </c>
      <c r="B9" t="s">
        <v>30</v>
      </c>
      <c r="C9" s="16">
        <v>3307</v>
      </c>
      <c r="D9" s="16">
        <v>2624</v>
      </c>
      <c r="E9" s="17">
        <v>0.79349999999999998</v>
      </c>
      <c r="F9" s="18">
        <v>1.99</v>
      </c>
      <c r="G9" s="19">
        <v>277052.94</v>
      </c>
      <c r="H9" s="6" t="s">
        <v>31</v>
      </c>
    </row>
    <row r="10" spans="1:15">
      <c r="A10" s="5" t="s">
        <v>33</v>
      </c>
      <c r="B10" t="s">
        <v>28</v>
      </c>
      <c r="C10" s="16">
        <v>10481</v>
      </c>
      <c r="D10" s="16">
        <v>4219</v>
      </c>
      <c r="E10" s="17">
        <v>0.40250000000000002</v>
      </c>
      <c r="F10" s="18">
        <v>0.01</v>
      </c>
      <c r="G10" s="19">
        <v>354965.89</v>
      </c>
      <c r="H10" s="6" t="s">
        <v>29</v>
      </c>
    </row>
    <row r="11" spans="1:15">
      <c r="A11" s="5" t="s">
        <v>34</v>
      </c>
      <c r="B11" t="s">
        <v>30</v>
      </c>
      <c r="C11" s="16">
        <v>1678</v>
      </c>
      <c r="D11" s="16">
        <v>1341</v>
      </c>
      <c r="E11" s="17">
        <v>0.79920000000000002</v>
      </c>
      <c r="F11" s="18">
        <v>1.99</v>
      </c>
      <c r="G11" s="19">
        <v>143942.57</v>
      </c>
      <c r="H11" s="6" t="s">
        <v>29</v>
      </c>
    </row>
    <row r="12" spans="1:15">
      <c r="A12" s="5" t="s">
        <v>32</v>
      </c>
      <c r="B12" t="s">
        <v>28</v>
      </c>
      <c r="C12" s="16">
        <v>10323</v>
      </c>
      <c r="D12" s="16">
        <v>4072</v>
      </c>
      <c r="E12" s="17">
        <v>0.39450000000000002</v>
      </c>
      <c r="F12" s="18">
        <v>-0.01</v>
      </c>
      <c r="G12" s="19">
        <v>427166.73</v>
      </c>
      <c r="H12" s="6" t="s">
        <v>29</v>
      </c>
    </row>
    <row r="13" spans="1:15">
      <c r="A13" s="5" t="s">
        <v>35</v>
      </c>
      <c r="B13" t="s">
        <v>30</v>
      </c>
      <c r="C13" s="16">
        <v>715</v>
      </c>
      <c r="D13" s="16">
        <v>573</v>
      </c>
      <c r="E13" s="17">
        <v>0.8014</v>
      </c>
      <c r="F13" s="18">
        <v>1.98</v>
      </c>
      <c r="G13" s="19">
        <v>56477.4</v>
      </c>
      <c r="H13" s="6" t="s">
        <v>29</v>
      </c>
    </row>
    <row r="14" spans="1:15">
      <c r="A14" s="5" t="s">
        <v>34</v>
      </c>
      <c r="B14" t="s">
        <v>28</v>
      </c>
      <c r="C14" s="16">
        <v>5097</v>
      </c>
      <c r="D14" s="16">
        <v>2032</v>
      </c>
      <c r="E14" s="17">
        <v>0.3987</v>
      </c>
      <c r="F14" s="18">
        <v>0</v>
      </c>
      <c r="G14" s="19">
        <v>208452.86</v>
      </c>
      <c r="H14" s="6" t="s">
        <v>36</v>
      </c>
    </row>
    <row r="15" spans="1:15">
      <c r="A15" s="5" t="s">
        <v>35</v>
      </c>
      <c r="B15" t="s">
        <v>28</v>
      </c>
      <c r="C15" s="16">
        <v>2348</v>
      </c>
      <c r="D15" s="16">
        <v>939</v>
      </c>
      <c r="E15" s="17">
        <v>0.39990000000000003</v>
      </c>
      <c r="F15" s="18">
        <v>0.01</v>
      </c>
      <c r="G15" s="19">
        <v>98827.77</v>
      </c>
      <c r="H15" s="6" t="s">
        <v>37</v>
      </c>
    </row>
    <row r="16" spans="1:15">
      <c r="A16" s="5" t="s">
        <v>33</v>
      </c>
      <c r="B16" t="s">
        <v>30</v>
      </c>
      <c r="C16" s="16">
        <v>3469</v>
      </c>
      <c r="D16" s="16">
        <v>2789</v>
      </c>
      <c r="E16" s="17">
        <v>0.80400000000000005</v>
      </c>
      <c r="F16" s="18">
        <v>2.0099999999999998</v>
      </c>
      <c r="G16" s="19">
        <v>233471.68</v>
      </c>
      <c r="H16" s="6" t="s">
        <v>31</v>
      </c>
    </row>
    <row r="17" spans="1:10">
      <c r="A17" s="5" t="s">
        <v>32</v>
      </c>
      <c r="B17" t="s">
        <v>38</v>
      </c>
      <c r="C17" s="16">
        <v>913</v>
      </c>
      <c r="D17" s="16">
        <v>470</v>
      </c>
      <c r="E17" s="17">
        <v>0.51479999999999992</v>
      </c>
      <c r="F17" s="18">
        <v>0.51</v>
      </c>
      <c r="G17" s="19">
        <v>42977.9</v>
      </c>
      <c r="H17" s="6" t="s">
        <v>36</v>
      </c>
    </row>
    <row r="18" spans="1:10">
      <c r="A18" s="5" t="s">
        <v>27</v>
      </c>
      <c r="B18" t="s">
        <v>38</v>
      </c>
      <c r="C18" s="16">
        <v>999</v>
      </c>
      <c r="D18" s="16">
        <v>480</v>
      </c>
      <c r="E18" s="17">
        <v>0.48049999999999998</v>
      </c>
      <c r="F18" s="18">
        <v>0.48</v>
      </c>
      <c r="G18" s="19">
        <v>47960.83</v>
      </c>
      <c r="H18" s="6" t="s">
        <v>36</v>
      </c>
    </row>
    <row r="19" spans="1:10">
      <c r="A19" s="5" t="s">
        <v>33</v>
      </c>
      <c r="B19" t="s">
        <v>38</v>
      </c>
      <c r="C19" s="16">
        <v>959</v>
      </c>
      <c r="D19" s="16">
        <v>456</v>
      </c>
      <c r="E19" s="17">
        <v>0.47549999999999998</v>
      </c>
      <c r="F19" s="18">
        <v>0.48</v>
      </c>
      <c r="G19" s="19">
        <v>34767.35</v>
      </c>
      <c r="H19" s="6" t="s">
        <v>37</v>
      </c>
    </row>
    <row r="20" spans="1:10">
      <c r="A20" s="5" t="s">
        <v>34</v>
      </c>
      <c r="B20" t="s">
        <v>38</v>
      </c>
      <c r="C20" s="16">
        <v>466</v>
      </c>
      <c r="D20" s="16">
        <v>208</v>
      </c>
      <c r="E20" s="17">
        <v>0.44640000000000002</v>
      </c>
      <c r="F20" s="18">
        <v>0.45</v>
      </c>
      <c r="G20" s="19">
        <v>20338.55</v>
      </c>
      <c r="H20" s="6" t="s">
        <v>37</v>
      </c>
    </row>
    <row r="21" spans="1:10">
      <c r="A21" s="5" t="s">
        <v>27</v>
      </c>
      <c r="B21" t="s">
        <v>39</v>
      </c>
      <c r="C21" s="16">
        <v>2878</v>
      </c>
      <c r="D21" s="16">
        <v>2878</v>
      </c>
      <c r="E21" s="17">
        <v>1</v>
      </c>
      <c r="F21" s="18">
        <v>1</v>
      </c>
      <c r="G21" s="19">
        <v>309902.77</v>
      </c>
      <c r="H21" s="6" t="s">
        <v>40</v>
      </c>
    </row>
    <row r="22" spans="1:10">
      <c r="A22" s="5" t="s">
        <v>33</v>
      </c>
      <c r="B22" t="s">
        <v>39</v>
      </c>
      <c r="C22" s="16">
        <v>2668</v>
      </c>
      <c r="D22" s="16">
        <v>2668</v>
      </c>
      <c r="E22" s="17">
        <v>1</v>
      </c>
      <c r="F22" s="18">
        <v>1</v>
      </c>
      <c r="G22" s="19">
        <v>233132.37</v>
      </c>
      <c r="H22" s="6" t="s">
        <v>40</v>
      </c>
    </row>
    <row r="23" spans="1:10">
      <c r="A23" s="5" t="s">
        <v>32</v>
      </c>
      <c r="B23" t="s">
        <v>39</v>
      </c>
      <c r="C23" s="16">
        <v>2638</v>
      </c>
      <c r="D23" s="16">
        <v>2638</v>
      </c>
      <c r="E23" s="17">
        <v>1</v>
      </c>
      <c r="F23" s="18">
        <v>1</v>
      </c>
      <c r="G23" s="19">
        <v>284501.2</v>
      </c>
      <c r="H23" s="6" t="s">
        <v>40</v>
      </c>
    </row>
    <row r="24" spans="1:10">
      <c r="A24" s="5" t="s">
        <v>34</v>
      </c>
      <c r="B24" t="s">
        <v>39</v>
      </c>
      <c r="C24" s="16">
        <v>1338</v>
      </c>
      <c r="D24" s="16">
        <v>1338</v>
      </c>
      <c r="E24" s="17">
        <v>1</v>
      </c>
      <c r="F24" s="18">
        <v>1</v>
      </c>
      <c r="G24" s="19">
        <v>139139.09</v>
      </c>
      <c r="H24" s="6" t="s">
        <v>40</v>
      </c>
    </row>
    <row r="25" spans="1:10">
      <c r="A25" s="7" t="s">
        <v>35</v>
      </c>
      <c r="B25" s="26" t="s">
        <v>39</v>
      </c>
      <c r="C25" s="28">
        <v>557</v>
      </c>
      <c r="D25" s="28">
        <v>557</v>
      </c>
      <c r="E25" s="30">
        <v>1</v>
      </c>
      <c r="F25" s="32">
        <v>1</v>
      </c>
      <c r="G25" s="34">
        <v>60050.09</v>
      </c>
      <c r="H25" s="8" t="s">
        <v>40</v>
      </c>
    </row>
    <row r="31" spans="1:10">
      <c r="J31" t="s">
        <v>88</v>
      </c>
    </row>
  </sheetData>
  <mergeCells count="3">
    <mergeCell ref="A1:H1"/>
    <mergeCell ref="A3:H3"/>
    <mergeCell ref="J4:O4"/>
  </mergeCells>
  <conditionalFormatting sqref="G7:G25">
    <cfRule type="dataBar" priority="1">
      <dataBar>
        <cfvo type="min"/>
        <cfvo type="max"/>
        <color rgb="FFED7D31"/>
      </dataBar>
    </cfRule>
    <cfRule type="dataBar" priority="2">
      <dataBar>
        <cfvo type="min"/>
        <cfvo type="max"/>
        <color rgb="FFED7D31"/>
      </dataBar>
      <extLst>
        <ext xmlns:x14="http://schemas.microsoft.com/office/spreadsheetml/2009/9/main" uri="{B025F937-C7B1-47D3-B67F-A62EFF666E3E}">
          <x14:id>{9E42CC13-C6AE-DC22-84E9-DB25D4277987}</x14:id>
        </ext>
      </extLst>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x14:cfRule type="dataBar" id="{9E42CC13-C6AE-DC22-84E9-DB25D4277987}">
            <x14:dataBar>
              <x14:cfvo type="min"/>
              <x14:cfvo type="max"/>
              <x14:negativeFillColor auto="1"/>
              <x14:axisColor auto="1"/>
            </x14:dataBar>
          </x14:cfRule>
          <xm:sqref>G7:G25</xm:sqref>
        </x14:conditionalFormatting>
      </x14:conditionalFormattings>
    </ex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L25"/>
  <sheetViews>
    <sheetView showGridLines="0" workbookViewId="0"/>
  </sheetViews>
  <sheetFormatPr defaultRowHeight="14.25"/>
  <cols>
    <col min="1" max="1" width="112.75" customWidth="1"/>
    <col min="2" max="11" width="38.125" customWidth="1"/>
    <col min="12" max="12" width="25" customWidth="1"/>
  </cols>
  <sheetData>
    <row r="1" spans="1:12" ht="27.95" customHeight="1">
      <c r="A1" s="47" t="s">
        <v>51</v>
      </c>
      <c r="B1" s="47" t="s">
        <v>51</v>
      </c>
      <c r="C1" s="47" t="s">
        <v>51</v>
      </c>
      <c r="D1" s="47" t="s">
        <v>51</v>
      </c>
      <c r="E1" s="47" t="s">
        <v>51</v>
      </c>
      <c r="F1" s="47" t="s">
        <v>51</v>
      </c>
      <c r="G1" s="47" t="s">
        <v>51</v>
      </c>
      <c r="H1" s="47" t="s">
        <v>51</v>
      </c>
      <c r="I1" s="47" t="s">
        <v>51</v>
      </c>
      <c r="J1" s="47" t="s">
        <v>51</v>
      </c>
      <c r="K1" s="47" t="s">
        <v>51</v>
      </c>
      <c r="L1" s="47" t="s">
        <v>51</v>
      </c>
    </row>
    <row r="3" spans="1:12" ht="15">
      <c r="A3" s="35" t="s">
        <v>52</v>
      </c>
      <c r="B3" s="36" t="s">
        <v>31</v>
      </c>
      <c r="D3" s="1" t="s">
        <v>53</v>
      </c>
      <c r="E3" s="15" t="s">
        <v>54</v>
      </c>
      <c r="F3" s="15" t="s">
        <v>55</v>
      </c>
      <c r="G3" s="2" t="s">
        <v>56</v>
      </c>
    </row>
    <row r="4" spans="1:12" ht="15">
      <c r="D4" s="37">
        <f>COUNTIFS('Refresh Data'!$L$7:$L$25,$B$3)</f>
        <v>3</v>
      </c>
      <c r="E4" s="38">
        <f>SUMIFS('Refresh Data'!$C$7:$C$25,'Refresh Data'!$L$7:$L$25,$B$3)</f>
        <v>10385</v>
      </c>
      <c r="F4" s="38">
        <f>SUMIFS('Refresh Data'!$D$7:$D$25,'Refresh Data'!$L$7:$L$25,$B$3)</f>
        <v>8299</v>
      </c>
      <c r="G4" s="39">
        <f>SUMIFS('Refresh Data'!$I$7:$I$25,'Refresh Data'!$L$7:$L$25,$B$3)</f>
        <v>814169.25</v>
      </c>
    </row>
    <row r="5" spans="1:12">
      <c r="A5" s="48" t="s">
        <v>57</v>
      </c>
      <c r="B5" s="49"/>
      <c r="C5" s="49"/>
      <c r="D5" s="49"/>
      <c r="E5" s="49"/>
      <c r="F5" s="49"/>
      <c r="G5" s="49"/>
      <c r="H5" s="49"/>
      <c r="I5" s="49"/>
      <c r="J5" s="49"/>
      <c r="K5" s="49"/>
      <c r="L5" s="49"/>
    </row>
    <row r="6" spans="1:12" ht="15">
      <c r="A6" s="1" t="s">
        <v>15</v>
      </c>
      <c r="B6" s="15" t="s">
        <v>16</v>
      </c>
      <c r="C6" s="15" t="s">
        <v>17</v>
      </c>
      <c r="D6" s="15" t="s">
        <v>18</v>
      </c>
      <c r="E6" s="15" t="s">
        <v>19</v>
      </c>
      <c r="F6" s="15" t="s">
        <v>20</v>
      </c>
      <c r="G6" s="15" t="s">
        <v>21</v>
      </c>
      <c r="H6" s="15" t="s">
        <v>22</v>
      </c>
      <c r="I6" s="15" t="s">
        <v>23</v>
      </c>
      <c r="J6" s="15" t="s">
        <v>24</v>
      </c>
      <c r="K6" s="15" t="s">
        <v>25</v>
      </c>
      <c r="L6" s="2" t="s">
        <v>26</v>
      </c>
    </row>
    <row r="7" spans="1:12">
      <c r="A7" s="3" t="s">
        <v>27</v>
      </c>
      <c r="B7" s="25" t="s">
        <v>30</v>
      </c>
      <c r="C7" s="27">
        <v>3609</v>
      </c>
      <c r="D7" s="27">
        <v>2886</v>
      </c>
      <c r="E7" s="29">
        <v>79.97</v>
      </c>
      <c r="F7" s="29">
        <v>7.68</v>
      </c>
      <c r="G7" s="31">
        <v>2.0099999999999998</v>
      </c>
      <c r="H7" s="31">
        <v>1.42</v>
      </c>
      <c r="I7" s="33">
        <v>303644.63</v>
      </c>
      <c r="J7" s="25">
        <v>5</v>
      </c>
      <c r="K7" s="25">
        <v>2</v>
      </c>
      <c r="L7" s="4" t="s">
        <v>31</v>
      </c>
    </row>
    <row r="8" spans="1:12">
      <c r="A8" s="5" t="s">
        <v>32</v>
      </c>
      <c r="B8" t="s">
        <v>30</v>
      </c>
      <c r="C8" s="16">
        <v>3307</v>
      </c>
      <c r="D8" s="16">
        <v>2624</v>
      </c>
      <c r="E8" s="17">
        <v>79.349999999999994</v>
      </c>
      <c r="F8" s="17">
        <v>6.98</v>
      </c>
      <c r="G8" s="18">
        <v>1.99</v>
      </c>
      <c r="H8" s="18">
        <v>1.42</v>
      </c>
      <c r="I8" s="19">
        <v>277052.94</v>
      </c>
      <c r="J8">
        <v>7</v>
      </c>
      <c r="K8">
        <v>3</v>
      </c>
      <c r="L8" s="6" t="s">
        <v>31</v>
      </c>
    </row>
    <row r="9" spans="1:12">
      <c r="A9" s="5" t="s">
        <v>33</v>
      </c>
      <c r="B9" t="s">
        <v>30</v>
      </c>
      <c r="C9" s="16">
        <v>3469</v>
      </c>
      <c r="D9" s="16">
        <v>2789</v>
      </c>
      <c r="E9" s="17">
        <v>80.400000000000006</v>
      </c>
      <c r="F9" s="17">
        <v>7.42</v>
      </c>
      <c r="G9" s="18">
        <v>2.0099999999999998</v>
      </c>
      <c r="H9" s="18">
        <v>1.4</v>
      </c>
      <c r="I9" s="19">
        <v>233471.68</v>
      </c>
      <c r="J9">
        <v>8</v>
      </c>
      <c r="K9">
        <v>10</v>
      </c>
      <c r="L9" s="6" t="s">
        <v>31</v>
      </c>
    </row>
    <row r="10" spans="1:12">
      <c r="A10" s="5"/>
      <c r="C10" s="16"/>
      <c r="D10" s="16"/>
      <c r="E10" s="17"/>
      <c r="F10" s="17"/>
      <c r="G10" s="18"/>
      <c r="H10" s="18"/>
      <c r="I10" s="19"/>
      <c r="L10" s="6"/>
    </row>
    <row r="11" spans="1:12">
      <c r="A11" s="5"/>
      <c r="C11" s="16"/>
      <c r="D11" s="16"/>
      <c r="E11" s="17"/>
      <c r="F11" s="17"/>
      <c r="G11" s="18"/>
      <c r="H11" s="18"/>
      <c r="I11" s="19"/>
      <c r="L11" s="6"/>
    </row>
    <row r="12" spans="1:12">
      <c r="A12" s="5"/>
      <c r="C12" s="16"/>
      <c r="D12" s="16"/>
      <c r="E12" s="17"/>
      <c r="F12" s="17"/>
      <c r="G12" s="18"/>
      <c r="H12" s="18"/>
      <c r="I12" s="19"/>
      <c r="L12" s="6"/>
    </row>
    <row r="13" spans="1:12">
      <c r="A13" s="5"/>
      <c r="C13" s="16"/>
      <c r="D13" s="16"/>
      <c r="E13" s="17"/>
      <c r="F13" s="17"/>
      <c r="G13" s="18"/>
      <c r="H13" s="18"/>
      <c r="I13" s="19"/>
      <c r="L13" s="6"/>
    </row>
    <row r="14" spans="1:12">
      <c r="A14" s="5"/>
      <c r="C14" s="16"/>
      <c r="D14" s="16"/>
      <c r="E14" s="17"/>
      <c r="F14" s="17"/>
      <c r="G14" s="18"/>
      <c r="H14" s="18"/>
      <c r="I14" s="19"/>
      <c r="L14" s="6"/>
    </row>
    <row r="15" spans="1:12">
      <c r="A15" s="5"/>
      <c r="C15" s="16"/>
      <c r="D15" s="16"/>
      <c r="E15" s="17"/>
      <c r="F15" s="17"/>
      <c r="G15" s="18"/>
      <c r="H15" s="18"/>
      <c r="I15" s="19"/>
      <c r="L15" s="6"/>
    </row>
    <row r="16" spans="1:12">
      <c r="A16" s="5"/>
      <c r="C16" s="16"/>
      <c r="D16" s="16"/>
      <c r="E16" s="17"/>
      <c r="F16" s="17"/>
      <c r="G16" s="18"/>
      <c r="H16" s="18"/>
      <c r="I16" s="19"/>
      <c r="L16" s="6"/>
    </row>
    <row r="17" spans="1:12">
      <c r="A17" s="5"/>
      <c r="C17" s="16"/>
      <c r="D17" s="16"/>
      <c r="E17" s="17"/>
      <c r="F17" s="17"/>
      <c r="G17" s="18"/>
      <c r="H17" s="18"/>
      <c r="I17" s="19"/>
      <c r="L17" s="6"/>
    </row>
    <row r="18" spans="1:12">
      <c r="A18" s="5"/>
      <c r="C18" s="16"/>
      <c r="D18" s="16"/>
      <c r="E18" s="17"/>
      <c r="F18" s="17"/>
      <c r="G18" s="18"/>
      <c r="H18" s="18"/>
      <c r="I18" s="19"/>
      <c r="L18" s="6"/>
    </row>
    <row r="19" spans="1:12">
      <c r="A19" s="5"/>
      <c r="C19" s="16"/>
      <c r="D19" s="16"/>
      <c r="E19" s="17"/>
      <c r="F19" s="17"/>
      <c r="G19" s="18"/>
      <c r="H19" s="18"/>
      <c r="I19" s="19"/>
      <c r="L19" s="6"/>
    </row>
    <row r="20" spans="1:12">
      <c r="A20" s="5"/>
      <c r="C20" s="16"/>
      <c r="D20" s="16"/>
      <c r="E20" s="17"/>
      <c r="F20" s="17"/>
      <c r="G20" s="18"/>
      <c r="H20" s="18"/>
      <c r="I20" s="19"/>
      <c r="L20" s="6"/>
    </row>
    <row r="21" spans="1:12">
      <c r="A21" s="5"/>
      <c r="C21" s="16"/>
      <c r="D21" s="16"/>
      <c r="E21" s="17"/>
      <c r="F21" s="17"/>
      <c r="G21" s="18"/>
      <c r="H21" s="18"/>
      <c r="I21" s="19"/>
      <c r="L21" s="6"/>
    </row>
    <row r="22" spans="1:12">
      <c r="A22" s="5"/>
      <c r="C22" s="16"/>
      <c r="D22" s="16"/>
      <c r="E22" s="17"/>
      <c r="F22" s="17"/>
      <c r="G22" s="18"/>
      <c r="H22" s="18"/>
      <c r="I22" s="19"/>
      <c r="L22" s="6"/>
    </row>
    <row r="23" spans="1:12">
      <c r="A23" s="5"/>
      <c r="C23" s="16"/>
      <c r="D23" s="16"/>
      <c r="E23" s="17"/>
      <c r="F23" s="17"/>
      <c r="G23" s="18"/>
      <c r="H23" s="18"/>
      <c r="I23" s="19"/>
      <c r="L23" s="6"/>
    </row>
    <row r="24" spans="1:12">
      <c r="A24" s="5"/>
      <c r="C24" s="16"/>
      <c r="D24" s="16"/>
      <c r="E24" s="17"/>
      <c r="F24" s="17"/>
      <c r="G24" s="18"/>
      <c r="H24" s="18"/>
      <c r="I24" s="19"/>
      <c r="L24" s="6"/>
    </row>
    <row r="25" spans="1:12">
      <c r="A25" s="7"/>
      <c r="B25" s="26"/>
      <c r="C25" s="28"/>
      <c r="D25" s="28"/>
      <c r="E25" s="30"/>
      <c r="F25" s="30"/>
      <c r="G25" s="32"/>
      <c r="H25" s="32"/>
      <c r="I25" s="34"/>
      <c r="J25" s="26"/>
      <c r="K25" s="26"/>
      <c r="L25" s="8"/>
    </row>
  </sheetData>
  <mergeCells count="2">
    <mergeCell ref="A1:L1"/>
    <mergeCell ref="A5:L5"/>
  </mergeCells>
  <conditionalFormatting sqref="E7:E25">
    <cfRule type="cellIs" dxfId="0" priority="1" operator="greaterThanOrEqual">
      <formula>0.7</formula>
    </cfRule>
  </conditionalFormatting>
  <conditionalFormatting sqref="I7:I25">
    <cfRule type="dataBar" priority="2">
      <dataBar>
        <cfvo type="min"/>
        <cfvo type="max"/>
        <color rgb="FFED7D31"/>
      </dataBar>
    </cfRule>
    <cfRule type="dataBar" priority="3">
      <dataBar>
        <cfvo type="min"/>
        <cfvo type="max"/>
        <color rgb="FFED7D31"/>
      </dataBar>
      <extLst>
        <ext xmlns:x14="http://schemas.microsoft.com/office/spreadsheetml/2009/9/main" uri="{B025F937-C7B1-47D3-B67F-A62EFF666E3E}">
          <x14:id>{FB8D433E-D812-3A58-ABF1-0A5EB79A688E}</x14:id>
        </ext>
      </extLst>
    </cfRule>
  </conditionalFormatting>
  <dataValidations count="1">
    <dataValidation type="list" sqref="B3" xr:uid="{00000000-0002-0000-0300-000000000000}">
      <formula1>"Protect,Stabilize,Monitor,Maintain,Review SLA Definition"</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FB8D433E-D812-3A58-ABF1-0A5EB79A688E}">
            <x14:dataBar>
              <x14:cfvo type="min"/>
              <x14:cfvo type="max"/>
              <x14:negativeFillColor auto="1"/>
              <x14:axisColor auto="1"/>
            </x14:dataBar>
          </x14:cfRule>
          <xm:sqref>I7:I25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F20"/>
  <sheetViews>
    <sheetView showGridLines="0" workbookViewId="0"/>
  </sheetViews>
  <sheetFormatPr defaultRowHeight="14.25"/>
  <cols>
    <col min="1" max="1" width="36" customWidth="1"/>
    <col min="2" max="2" width="18" customWidth="1"/>
  </cols>
  <sheetData>
    <row r="1" spans="1:6" ht="27.95" customHeight="1">
      <c r="A1" s="47" t="s">
        <v>58</v>
      </c>
      <c r="B1" s="47" t="s">
        <v>58</v>
      </c>
      <c r="C1" s="47" t="s">
        <v>58</v>
      </c>
      <c r="D1" s="47" t="s">
        <v>58</v>
      </c>
      <c r="E1" s="47" t="s">
        <v>58</v>
      </c>
      <c r="F1" s="47" t="s">
        <v>58</v>
      </c>
    </row>
    <row r="3" spans="1:6">
      <c r="A3" s="48" t="s">
        <v>59</v>
      </c>
      <c r="B3" s="49"/>
      <c r="C3" s="49"/>
      <c r="D3" s="49"/>
      <c r="E3" s="49"/>
      <c r="F3" s="49"/>
    </row>
    <row r="5" spans="1:6" ht="15">
      <c r="A5" s="50" t="s">
        <v>60</v>
      </c>
      <c r="B5" s="50" t="s">
        <v>60</v>
      </c>
    </row>
    <row r="6" spans="1:6" ht="15">
      <c r="A6" s="3" t="s">
        <v>61</v>
      </c>
      <c r="B6" s="40">
        <v>0.1</v>
      </c>
    </row>
    <row r="7" spans="1:6" ht="15">
      <c r="A7" s="5" t="s">
        <v>62</v>
      </c>
      <c r="B7" s="41" t="s">
        <v>30</v>
      </c>
    </row>
    <row r="8" spans="1:6">
      <c r="A8" s="5"/>
      <c r="B8" s="6"/>
    </row>
    <row r="9" spans="1:6" ht="15">
      <c r="A9" s="51" t="s">
        <v>63</v>
      </c>
      <c r="B9" s="52" t="s">
        <v>63</v>
      </c>
    </row>
    <row r="10" spans="1:6">
      <c r="A10" s="5" t="s">
        <v>54</v>
      </c>
      <c r="B10" s="42">
        <f>INDEX('Refresh Data'!$C$7:$C$25,MATCH($B$7,'Refresh Data'!$B$7:$B$25,0))</f>
        <v>3609</v>
      </c>
    </row>
    <row r="11" spans="1:6">
      <c r="A11" s="5" t="s">
        <v>64</v>
      </c>
      <c r="B11" s="42">
        <f>INDEX('Refresh Data'!$D$7:$D$25,MATCH($B$7,'Refresh Data'!$B$7:$B$25,0))</f>
        <v>2886</v>
      </c>
    </row>
    <row r="12" spans="1:6">
      <c r="A12" s="5" t="s">
        <v>65</v>
      </c>
      <c r="B12" s="43">
        <f>INDEX('Refresh Data'!$E$7:$E$25,MATCH($B$7,'Refresh Data'!$B$7:$B$25,0))/100</f>
        <v>0.79969999999999997</v>
      </c>
    </row>
    <row r="13" spans="1:6">
      <c r="A13" s="5" t="s">
        <v>66</v>
      </c>
      <c r="B13" s="44">
        <f>INDEX('Refresh Data'!$G$7:$G$25,MATCH($B$7,'Refresh Data'!$B$7:$B$25,0))</f>
        <v>2.0099999999999998</v>
      </c>
    </row>
    <row r="14" spans="1:6">
      <c r="A14" s="5" t="s">
        <v>56</v>
      </c>
      <c r="B14" s="45">
        <f>INDEX('Refresh Data'!$I$7:$I$25,MATCH($B$7,'Refresh Data'!$B$7:$B$25,0))</f>
        <v>303644.63</v>
      </c>
    </row>
    <row r="15" spans="1:6">
      <c r="A15" s="5"/>
      <c r="B15" s="6"/>
    </row>
    <row r="16" spans="1:6" ht="15">
      <c r="A16" s="51" t="s">
        <v>67</v>
      </c>
      <c r="B16" s="52" t="s">
        <v>67</v>
      </c>
    </row>
    <row r="17" spans="1:2">
      <c r="A17" s="5" t="s">
        <v>68</v>
      </c>
      <c r="B17" s="44">
        <f>B13*$B$6</f>
        <v>0.20099999999999998</v>
      </c>
    </row>
    <row r="18" spans="1:2">
      <c r="A18" s="5" t="s">
        <v>69</v>
      </c>
      <c r="B18" s="43">
        <f>MIN(1,B12*(1+$B$6))</f>
        <v>0.87967000000000006</v>
      </c>
    </row>
    <row r="19" spans="1:2">
      <c r="A19" s="5" t="s">
        <v>70</v>
      </c>
      <c r="B19" s="42">
        <f>B11*$B$6</f>
        <v>288.60000000000002</v>
      </c>
    </row>
    <row r="20" spans="1:2">
      <c r="A20" s="7" t="s">
        <v>71</v>
      </c>
      <c r="B20" s="46">
        <f>B14*$B$6</f>
        <v>30364.463000000003</v>
      </c>
    </row>
  </sheetData>
  <mergeCells count="5">
    <mergeCell ref="A1:F1"/>
    <mergeCell ref="A3:F3"/>
    <mergeCell ref="A5:B5"/>
    <mergeCell ref="A9:B9"/>
    <mergeCell ref="A16:B16"/>
  </mergeCells>
  <dataValidations count="1">
    <dataValidation type="list" sqref="B7" xr:uid="{00000000-0002-0000-0400-000000000000}">
      <formula1>"First Class,Second Class,Same Day,Standard Class"</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H20"/>
  <sheetViews>
    <sheetView showGridLines="0" workbookViewId="0"/>
  </sheetViews>
  <sheetFormatPr defaultRowHeight="14.25"/>
  <cols>
    <col min="1" max="1" width="10" customWidth="1"/>
    <col min="2" max="2" width="88" customWidth="1"/>
  </cols>
  <sheetData>
    <row r="1" spans="1:8" ht="27.95" customHeight="1">
      <c r="A1" s="47" t="s">
        <v>72</v>
      </c>
      <c r="B1" s="47" t="s">
        <v>72</v>
      </c>
      <c r="C1" s="47" t="s">
        <v>72</v>
      </c>
      <c r="D1" s="47" t="s">
        <v>72</v>
      </c>
      <c r="E1" s="47" t="s">
        <v>72</v>
      </c>
      <c r="F1" s="47" t="s">
        <v>72</v>
      </c>
      <c r="G1" s="47" t="s">
        <v>72</v>
      </c>
      <c r="H1" s="47" t="s">
        <v>72</v>
      </c>
    </row>
    <row r="3" spans="1:8">
      <c r="A3" s="48" t="s">
        <v>73</v>
      </c>
      <c r="B3" s="49"/>
      <c r="C3" s="49"/>
      <c r="D3" s="49"/>
      <c r="E3" s="49"/>
      <c r="F3" s="49"/>
      <c r="G3" s="49"/>
      <c r="H3" s="49"/>
    </row>
    <row r="5" spans="1:8" ht="15">
      <c r="A5" s="50" t="s">
        <v>74</v>
      </c>
      <c r="B5" s="50" t="s">
        <v>74</v>
      </c>
      <c r="C5" s="50" t="s">
        <v>74</v>
      </c>
      <c r="D5" s="50" t="s">
        <v>74</v>
      </c>
      <c r="E5" s="50" t="s">
        <v>74</v>
      </c>
      <c r="F5" s="50" t="s">
        <v>74</v>
      </c>
      <c r="G5" s="50" t="s">
        <v>74</v>
      </c>
      <c r="H5" s="50" t="s">
        <v>74</v>
      </c>
    </row>
    <row r="6" spans="1:8" ht="15">
      <c r="A6" s="1" t="s">
        <v>75</v>
      </c>
      <c r="B6" s="2" t="s">
        <v>76</v>
      </c>
      <c r="D6" t="s">
        <v>89</v>
      </c>
      <c r="E6" t="s">
        <v>90</v>
      </c>
    </row>
    <row r="7" spans="1:8">
      <c r="A7" s="9" t="s">
        <v>77</v>
      </c>
      <c r="B7" s="10" t="s">
        <v>78</v>
      </c>
      <c r="D7" t="s">
        <v>91</v>
      </c>
      <c r="E7" t="s">
        <v>92</v>
      </c>
    </row>
    <row r="8" spans="1:8" ht="28.5">
      <c r="A8" s="11" t="s">
        <v>79</v>
      </c>
      <c r="B8" s="12" t="s">
        <v>80</v>
      </c>
      <c r="D8" t="s">
        <v>93</v>
      </c>
      <c r="E8" t="s">
        <v>94</v>
      </c>
    </row>
    <row r="9" spans="1:8">
      <c r="A9" s="11" t="s">
        <v>81</v>
      </c>
      <c r="B9" s="12" t="s">
        <v>82</v>
      </c>
    </row>
    <row r="10" spans="1:8" ht="28.5">
      <c r="A10" s="13" t="s">
        <v>83</v>
      </c>
      <c r="B10" s="14" t="s">
        <v>84</v>
      </c>
    </row>
    <row r="12" spans="1:8" ht="15">
      <c r="A12" s="50" t="s">
        <v>85</v>
      </c>
      <c r="B12" s="50" t="s">
        <v>85</v>
      </c>
      <c r="C12" s="50" t="s">
        <v>85</v>
      </c>
      <c r="D12" s="50" t="s">
        <v>85</v>
      </c>
      <c r="E12" s="50" t="s">
        <v>85</v>
      </c>
      <c r="F12" s="50" t="s">
        <v>85</v>
      </c>
      <c r="G12" s="50" t="s">
        <v>85</v>
      </c>
      <c r="H12" s="50" t="s">
        <v>85</v>
      </c>
    </row>
    <row r="13" spans="1:8" ht="18" customHeight="1">
      <c r="A13" s="53" t="s">
        <v>86</v>
      </c>
      <c r="B13" s="49"/>
      <c r="C13" s="49"/>
      <c r="D13" s="49"/>
      <c r="E13" s="49"/>
      <c r="F13" s="49"/>
      <c r="G13" s="49"/>
      <c r="H13" s="49"/>
    </row>
    <row r="14" spans="1:8" ht="18" customHeight="1">
      <c r="A14" s="49"/>
      <c r="B14" s="49"/>
      <c r="C14" s="49"/>
      <c r="D14" s="49"/>
      <c r="E14" s="49"/>
      <c r="F14" s="49"/>
      <c r="G14" s="49"/>
      <c r="H14" s="49"/>
    </row>
    <row r="15" spans="1:8" ht="18" customHeight="1">
      <c r="A15" s="49"/>
      <c r="B15" s="49"/>
      <c r="C15" s="49"/>
      <c r="D15" s="49"/>
      <c r="E15" s="49"/>
      <c r="F15" s="49"/>
      <c r="G15" s="49"/>
      <c r="H15" s="49"/>
    </row>
    <row r="16" spans="1:8" ht="18" customHeight="1">
      <c r="A16" s="49"/>
      <c r="B16" s="49"/>
      <c r="C16" s="49"/>
      <c r="D16" s="49"/>
      <c r="E16" s="49"/>
      <c r="F16" s="49"/>
      <c r="G16" s="49"/>
      <c r="H16" s="49"/>
    </row>
    <row r="17" spans="1:8" ht="18" customHeight="1">
      <c r="A17" s="49"/>
      <c r="B17" s="49"/>
      <c r="C17" s="49"/>
      <c r="D17" s="49"/>
      <c r="E17" s="49"/>
      <c r="F17" s="49"/>
      <c r="G17" s="49"/>
      <c r="H17" s="49"/>
    </row>
    <row r="18" spans="1:8" ht="18" customHeight="1">
      <c r="A18" s="49"/>
      <c r="B18" s="49"/>
      <c r="C18" s="49"/>
      <c r="D18" s="49"/>
      <c r="E18" s="49"/>
      <c r="F18" s="49"/>
      <c r="G18" s="49"/>
      <c r="H18" s="49"/>
    </row>
    <row r="19" spans="1:8" ht="18" customHeight="1">
      <c r="A19" s="49"/>
      <c r="B19" s="49"/>
      <c r="C19" s="49"/>
      <c r="D19" s="49"/>
      <c r="E19" s="49"/>
      <c r="F19" s="49"/>
      <c r="G19" s="49"/>
      <c r="H19" s="49"/>
    </row>
    <row r="20" spans="1:8" ht="18" customHeight="1">
      <c r="A20" s="49"/>
      <c r="B20" s="49"/>
      <c r="C20" s="49"/>
      <c r="D20" s="49"/>
      <c r="E20" s="49"/>
      <c r="F20" s="49"/>
      <c r="G20" s="49"/>
      <c r="H20" s="49"/>
    </row>
  </sheetData>
  <mergeCells count="5">
    <mergeCell ref="A1:H1"/>
    <mergeCell ref="A3:H3"/>
    <mergeCell ref="A5:H5"/>
    <mergeCell ref="A12:H12"/>
    <mergeCell ref="A13:H2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Operations Overview</vt:lpstr>
      <vt:lpstr>Refresh Data</vt:lpstr>
      <vt:lpstr>Pivot Analysis</vt:lpstr>
      <vt:lpstr>Exception Report</vt:lpstr>
      <vt:lpstr>Scenario Model</vt:lpstr>
      <vt:lpstr>Data Refresh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Uday Prakash Lakkaraju</cp:lastModifiedBy>
  <dcterms:created xsi:type="dcterms:W3CDTF">2026-07-10T17:51:02Z</dcterms:created>
  <dcterms:modified xsi:type="dcterms:W3CDTF">2026-07-10T17:51:02Z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3fd474-4f3c-44ed-88fb-5cc4bd2471bf_Enabled">
    <vt:lpwstr>true</vt:lpwstr>
  </property>
  <property fmtid="{D5CDD505-2E9C-101B-9397-08002B2CF9AE}" pid="3" name="MSIP_Label_a73fd474-4f3c-44ed-88fb-5cc4bd2471bf_SetDate">
    <vt:lpwstr>2026-07-10T17:51:02Z</vt:lpwstr>
  </property>
  <property fmtid="{D5CDD505-2E9C-101B-9397-08002B2CF9AE}" pid="4" name="MSIP_Label_a73fd474-4f3c-44ed-88fb-5cc4bd2471bf_Method">
    <vt:lpwstr>Standard</vt:lpwstr>
  </property>
  <property fmtid="{D5CDD505-2E9C-101B-9397-08002B2CF9AE}" pid="5" name="MSIP_Label_a73fd474-4f3c-44ed-88fb-5cc4bd2471bf_Name">
    <vt:lpwstr>defa4170-0d19-0005-0004-bc88714345d2</vt:lpwstr>
  </property>
  <property fmtid="{D5CDD505-2E9C-101B-9397-08002B2CF9AE}" pid="6" name="MSIP_Label_a73fd474-4f3c-44ed-88fb-5cc4bd2471bf_SiteId">
    <vt:lpwstr>8d1a69ec-03b5-4345-ae21-dad112f5fb4f</vt:lpwstr>
  </property>
  <property fmtid="{D5CDD505-2E9C-101B-9397-08002B2CF9AE}" pid="7" name="MSIP_Label_a73fd474-4f3c-44ed-88fb-5cc4bd2471bf_ActionId">
    <vt:lpwstr>42407324-6564-4efd-ad71-295acbf5e56c</vt:lpwstr>
  </property>
  <property fmtid="{D5CDD505-2E9C-101B-9397-08002B2CF9AE}" pid="8" name="MSIP_Label_a73fd474-4f3c-44ed-88fb-5cc4bd2471bf_ContentBits">
    <vt:lpwstr>0</vt:lpwstr>
  </property>
  <property fmtid="{D5CDD505-2E9C-101B-9397-08002B2CF9AE}" pid="9" name="MSIP_Label_a73fd474-4f3c-44ed-88fb-5cc4bd2471bf_Tag">
    <vt:lpwstr>10, 3, 0, 1</vt:lpwstr>
  </property>
</Properties>
</file>