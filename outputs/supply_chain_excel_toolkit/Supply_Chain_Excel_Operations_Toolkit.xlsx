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84d3613c3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Overview" sheetId="1" r:id="Ra494fca3ffd9429a"/>
    <x:sheet xmlns:r="http://schemas.openxmlformats.org/officeDocument/2006/relationships" name="Refresh Data" sheetId="2" r:id="R071e094e6ed84f23"/>
    <x:sheet xmlns:r="http://schemas.openxmlformats.org/officeDocument/2006/relationships" name="Pivot Analysis" sheetId="3" r:id="R9c28119ceb034e8a"/>
    <x:sheet xmlns:r="http://schemas.openxmlformats.org/officeDocument/2006/relationships" name="Exception Report" sheetId="4" r:id="Rdee8cbe9d9984fa0"/>
    <x:sheet xmlns:r="http://schemas.openxmlformats.org/officeDocument/2006/relationships" name="Scenario Model" sheetId="5" r:id="R9091d5d3b076484b"/>
    <x:sheet xmlns:r="http://schemas.openxmlformats.org/officeDocument/2006/relationships" name="Data Refresh" sheetId="6" r:id="Ra0a2c8bc0604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&quot;$&quot;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</x:fills>
  <x:borders count="13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9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0" fillId="0" borderId="10" xfId="0" applyNumberFormat="1" applyFont="1" applyFill="1" applyBorder="1"/>
    <x:xf numFmtId="203" fontId="0" fillId="0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0" fillId="6" borderId="0" xfId="0" applyNumberFormat="1" applyFont="1" applyFill="1" applyBorder="1"/>
    <x:xf numFmtId="203" fontId="0" fillId="6" borderId="0" xfId="0" applyNumberFormat="1" applyFont="1" applyFill="1" applyBorder="1"/>
    <x:xf numFmtId="200" fontId="4" fillId="6" borderId="0" xfId="0" applyNumberFormat="1" applyFont="1" applyFill="1" applyBorder="1"/>
    <x:xf numFmtId="203" fontId="4" fillId="6" borderId="0" xfId="0" applyNumberFormat="1" applyFont="1" applyFill="1" applyBorder="1"/>
    <x:xf numFmtId="200" fontId="4" fillId="6" borderId="1" xfId="0" applyNumberFormat="1" applyFont="1" applyFill="1" applyBorder="1"/>
    <x:xf numFmtId="200" fontId="4" fillId="6" borderId="9" xfId="0" applyNumberFormat="1" applyFont="1" applyFill="1" applyBorder="1"/>
    <x:xf numFmtId="203" fontId="4" fillId="6" borderId="2" xfId="0" applyNumberFormat="1" applyFont="1" applyFill="1" applyBorder="1"/>
    <x:xf numFmtId="200" fontId="4" fillId="6" borderId="1" xfId="0" applyNumberFormat="1" applyFont="1" applyFill="1" applyBorder="1" applyAlignment="1">
      <x:alignment horizontal="right"/>
    </x:xf>
    <x:xf numFmtId="200" fontId="4" fillId="6" borderId="9" xfId="0" applyNumberFormat="1" applyFont="1" applyFill="1" applyBorder="1" applyAlignment="1">
      <x:alignment horizontal="right"/>
    </x:xf>
    <x:xf numFmtId="203" fontId="4" fillId="6" borderId="2" xfId="0" applyNumberFormat="1" applyFont="1" applyFill="1" applyBorder="1" applyAlignment="1">
      <x:alignment horizontal="right"/>
    </x:xf>
    <x:xf numFmtId="201" fontId="4" fillId="5" borderId="0" xfId="0" applyNumberFormat="1" applyFont="1" applyFill="1" applyBorder="1"/>
    <x:xf numFmtId="201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3" fillId="4" borderId="5" xfId="0" applyNumberFormat="1" applyFont="1" applyFill="1" applyBorder="1" applyAlignment="1">
      <x:alignment horizontal="left"/>
    </x:xf>
    <x:xf numFmtId="0" fontId="3" fillId="4" borderId="6" xfId="0" applyNumberFormat="1" applyFont="1" applyFill="1" applyBorder="1" applyAlignment="1">
      <x:alignment horizontal="left"/>
    </x:xf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3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41c8e23f344b6" /><Relationship Type="http://schemas.openxmlformats.org/officeDocument/2006/relationships/theme" Target="/xl/theme/theme1.xml" Id="Ra810285b6ccc4251" /><Relationship Type="http://schemas.openxmlformats.org/officeDocument/2006/relationships/sharedStrings" Target="/xl/sharedStrings.xml" Id="Rf515fdeac1124821" /><Relationship Type="http://schemas.openxmlformats.org/officeDocument/2006/relationships/worksheet" Target="/xl/worksheets/sheet1.xml" Id="Ra494fca3ffd9429a" /><Relationship Type="http://schemas.openxmlformats.org/officeDocument/2006/relationships/worksheet" Target="/xl/worksheets/sheet2.xml" Id="R071e094e6ed84f23" /><Relationship Type="http://schemas.openxmlformats.org/officeDocument/2006/relationships/worksheet" Target="/xl/worksheets/sheet3.xml" Id="R9c28119ceb034e8a" /><Relationship Type="http://schemas.openxmlformats.org/officeDocument/2006/relationships/worksheet" Target="/xl/worksheets/sheet4.xml" Id="Rdee8cbe9d9984fa0" /><Relationship Type="http://schemas.openxmlformats.org/officeDocument/2006/relationships/worksheet" Target="/xl/worksheets/sheet5.xml" Id="R9091d5d3b076484b" /><Relationship Type="http://schemas.openxmlformats.org/officeDocument/2006/relationships/worksheet" Target="/xl/worksheets/sheet6.xml" Id="Ra0a2c8bc060446ac" /></Relationships>
</file>

<file path=xl/tables/table1.xml><?xml version="1.0" encoding="utf-8"?>
<x:table xmlns:x="http://schemas.openxmlformats.org/spreadsheetml/2006/main" id="1" name="tblLaneData" displayName="tblLaneData" ref="A6:L25" headerRowCount="1" totalsRowCount="0" totalsRowShown="0">
  <x:tableColumns count="12">
    <x:tableColumn id="1" name="market"/>
    <x:tableColumn id="2" name="shipping_mode"/>
    <x:tableColumn id="3" name="order_count"/>
    <x:tableColumn id="4" name="breach_count"/>
    <x:tableColumn id="5" name="breach_rate_pct"/>
    <x:tableColumn id="6" name="breach_share_pct"/>
    <x:tableColumn id="7" name="avg_delay_days"/>
    <x:tableColumn id="8" name="delay_sd"/>
    <x:tableColumn id="9" name="profit_at_risk"/>
    <x:tableColumn id="10" name="profit_risk_rank"/>
    <x:tableColumn id="11" name="variability_priority_rank"/>
    <x:tableColumn id="12" name="action_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aaeba880af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9.200000762939453" hidden="0" customHeight="1">
      <x:c r="A1" s="4" t="str">
        <x:v>Supply Chain Exception Management</x:v>
      </x:c>
      <x:c r="B1" s="4" t="str">
        <x:v>Supply Chain Exception Management</x:v>
      </x:c>
      <x:c r="C1" s="4" t="str">
        <x:v>Supply Chain Exception Management</x:v>
      </x:c>
      <x:c r="D1" s="4" t="str">
        <x:v>Supply Chain Exception Management</x:v>
      </x:c>
      <x:c r="E1" s="4" t="str">
        <x:v>Supply Chain Exception Management</x:v>
      </x:c>
      <x:c r="F1" s="4" t="str">
        <x:v>Supply Chain Exception Management</x:v>
      </x:c>
      <x:c r="G1" s="4" t="str">
        <x:v>Supply Chain Exception Management</x:v>
      </x:c>
      <x:c r="H1" s="4" t="str">
        <x:v>Supply Chain Exception Management</x:v>
      </x:c>
    </x:row>
    <x:row r="2"/>
    <x:row r="3" ht="15" hidden="0" customHeight="1">
      <x:c r="A3" s="7" t="str">
        <x:v>A separate, Excel-focused companion to the management workbook. It uses the validated market × shipping-mode mart; model outputs are decision-support scenarios, not realized savings.</x:v>
      </x:c>
    </x:row>
    <x:row r="4"/>
    <x:row r="5" ht="15" hidden="0" customHeight="1">
      <x:c r="A5" s="10" t="str">
        <x:v>Operating model</x:v>
      </x:c>
      <x:c r="B5" s="10" t="str">
        <x:v>Operating model</x:v>
      </x:c>
      <x:c r="C5" s="10" t="str">
        <x:v>Operating model</x:v>
      </x:c>
      <x:c r="D5" s="10" t="str">
        <x:v>Operating model</x:v>
      </x:c>
      <x:c r="E5" s="10" t="str">
        <x:v>Operating model</x:v>
      </x:c>
      <x:c r="F5" s="10" t="str">
        <x:v>Operating model</x:v>
      </x:c>
      <x:c r="G5" s="10" t="str">
        <x:v>Operating model</x:v>
      </x:c>
      <x:c r="H5" s="10" t="str">
        <x:v>Operating model</x:v>
      </x:c>
    </x:row>
    <x:row r="6" ht="15" hidden="0" customHeight="1">
      <x:c r="A6" s="15" t="str">
        <x:v>Focus</x:v>
      </x:c>
      <x:c r="B6" s="16" t="str">
        <x:v>Purpose</x:v>
      </x:c>
    </x:row>
    <x:row r="7" ht="26.399999618530273" hidden="0" customHeight="1">
      <x:c r="A7" s="23" t="str">
        <x:v>Data refresh</x:v>
      </x:c>
      <x:c r="B7" s="24" t="str">
        <x:v>Lane-control data is sourced from the clean operational mart; refresh controls and source configuration are kept separately from business views.</x:v>
      </x:c>
    </x:row>
    <x:row r="8" ht="15" hidden="0" customHeight="1">
      <x:c r="A8" s="25" t="str">
        <x:v>Priority review</x:v>
      </x:c>
      <x:c r="B8" s="26" t="str">
        <x:v>Use market and shipping-mode slicers to isolate exception clusters, then compare breach volume and profit exposure.</x:v>
      </x:c>
    </x:row>
    <x:row r="9" ht="15" hidden="0" customHeight="1">
      <x:c r="A9" s="25" t="str">
        <x:v>Decision support</x:v>
      </x:c>
      <x:c r="B9" s="26" t="str">
        <x:v>Use the carrier-delay sensitivity before committing a pilot; all impact outputs are explicitly modeled, not realized.</x:v>
      </x:c>
    </x:row>
    <x:row r="10" ht="15" hidden="0" customHeight="1">
      <x:c r="A10" s="27" t="str">
        <x:v>Exception handoff</x:v>
      </x:c>
      <x:c r="B10" s="28" t="str">
        <x:v>The refresh/export macro creates a value-only exception report for operational follow-up.</x:v>
      </x:c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4.75" hidden="0" customWidth="1"/>
    <x:col min="3" max="3" width="12.5" hidden="0" customWidth="1"/>
    <x:col min="4" max="4" width="13.5" hidden="0" customWidth="1"/>
    <x:col min="5" max="5" width="15.5" hidden="0" customWidth="1"/>
    <x:col min="6" max="6" width="16.6299991607666" hidden="0" customWidth="1"/>
    <x:col min="7" max="7" width="15" hidden="0" customWidth="1"/>
    <x:col min="8" max="8" width="9.75" hidden="0" customWidth="1"/>
    <x:col min="9" max="9" width="13.380000114440918" hidden="0" customWidth="1"/>
    <x:col min="10" max="10" width="15.25" hidden="0" customWidth="1"/>
    <x:col min="11" max="11" width="21.5" hidden="0" customWidth="1"/>
    <x:col min="12" max="12" width="25" hidden="0" customWidth="1"/>
  </x:cols>
  <x:sheetData>
    <x:row r="1" ht="28" customHeight="1">
      <x:c r="A1" s="4" t="str">
        <x:v>Refresh Data | Clean Operational Lane Mart</x:v>
      </x:c>
      <x:c r="B1" s="4" t="str">
        <x:v>Refresh Data | Clean Operational Lane Mart</x:v>
      </x:c>
      <x:c r="C1" s="4" t="str">
        <x:v>Refresh Data | Clean Operational Lane Mart</x:v>
      </x:c>
      <x:c r="D1" s="4" t="str">
        <x:v>Refresh Data | Clean Operational Lane Mart</x:v>
      </x:c>
      <x:c r="E1" s="4" t="str">
        <x:v>Refresh Data | Clean Operational Lane Mart</x:v>
      </x:c>
      <x:c r="F1" s="4" t="str">
        <x:v>Refresh Data | Clean Operational Lane Mart</x:v>
      </x:c>
      <x:c r="G1" s="4" t="str">
        <x:v>Refresh Data | Clean Operational Lane Mart</x:v>
      </x:c>
      <x:c r="H1" s="4" t="str">
        <x:v>Refresh Data | Clean Operational Lane Mart</x:v>
      </x:c>
      <x:c r="I1" s="4" t="str">
        <x:v>Refresh Data | Clean Operational Lane Mart</x:v>
      </x:c>
      <x:c r="J1" s="4" t="str">
        <x:v>Refresh Data | Clean Operational Lane Mart</x:v>
      </x:c>
      <x:c r="K1" s="4" t="str">
        <x:v>Refresh Data | Clean Operational Lane Mart</x:v>
      </x:c>
      <x:c r="L1" s="4" t="str">
        <x:v>Refresh Data | Clean Operational Lane Mart</x:v>
      </x:c>
    </x:row>
    <x:row r="3">
      <x:c r="A3" s="7" t="str">
        <x:v>Source: data/mart_lane_reliability.csv. The Power Query recipe trims text and applies typed columns before loading this table. Use Data &gt; Refresh All after configuring the connection in Refresh Control.</x:v>
      </x:c>
    </x:row>
    <x:row r="6">
      <x:c r="A6" s="15" t="str">
        <x:v>market</x:v>
      </x:c>
      <x:c r="B6" s="31" t="str">
        <x:v>shipping_mode</x:v>
      </x:c>
      <x:c r="C6" s="36" t="str">
        <x:v>order_count</x:v>
      </x:c>
      <x:c r="D6" s="36" t="str">
        <x:v>breach_count</x:v>
      </x:c>
      <x:c r="E6" s="36" t="str">
        <x:v>breach_rate_pct</x:v>
      </x:c>
      <x:c r="F6" s="36" t="str">
        <x:v>breach_share_pct</x:v>
      </x:c>
      <x:c r="G6" s="36" t="str">
        <x:v>avg_delay_days</x:v>
      </x:c>
      <x:c r="H6" s="36" t="str">
        <x:v>delay_sd</x:v>
      </x:c>
      <x:c r="I6" s="36" t="str">
        <x:v>profit_at_risk</x:v>
      </x:c>
      <x:c r="J6" s="36" t="str">
        <x:v>profit_risk_rank</x:v>
      </x:c>
      <x:c r="K6" s="36" t="str">
        <x:v>variability_priority_rank</x:v>
      </x:c>
      <x:c r="L6" s="16" t="str">
        <x:v>action_category</x:v>
      </x:c>
    </x:row>
    <x:row r="7">
      <x:c r="A7" t="str">
        <x:v>Europe</x:v>
      </x:c>
      <x:c r="B7" t="str">
        <x:v>Standard Class</x:v>
      </x:c>
      <x:c r="C7" s="37" t="n">
        <x:v>11075</x:v>
      </x:c>
      <x:c r="D7" s="37" t="n">
        <x:v>4417</x:v>
      </x:c>
      <x:c r="E7" s="38" t="n">
        <x:v>39.88</x:v>
      </x:c>
      <x:c r="F7" s="38" t="n">
        <x:v>11.75</x:v>
      </x:c>
      <x:c r="G7" s="39" t="n">
        <x:v>-0.01</x:v>
      </x:c>
      <x:c r="H7" s="39" t="n">
        <x:v>1.42</x:v>
      </x:c>
      <x:c r="I7" s="40" t="n">
        <x:v>465247.74</x:v>
      </x:c>
      <x:c r="J7" s="37" t="n">
        <x:v>1</x:v>
      </x:c>
      <x:c r="K7" s="37" t="n">
        <x:v>1</x:v>
      </x:c>
      <x:c r="L7" t="str">
        <x:v>Stabilize</x:v>
      </x:c>
    </x:row>
    <x:row r="8">
      <x:c r="A8" t="str">
        <x:v>Europe</x:v>
      </x:c>
      <x:c r="B8" t="str">
        <x:v>Second Class</x:v>
      </x:c>
      <x:c r="C8" s="37" t="n">
        <x:v>3609</x:v>
      </x:c>
      <x:c r="D8" s="37" t="n">
        <x:v>2886</x:v>
      </x:c>
      <x:c r="E8" s="38" t="n">
        <x:v>79.97</x:v>
      </x:c>
      <x:c r="F8" s="38" t="n">
        <x:v>7.68</x:v>
      </x:c>
      <x:c r="G8" s="39" t="n">
        <x:v>2.01</x:v>
      </x:c>
      <x:c r="H8" s="39" t="n">
        <x:v>1.42</x:v>
      </x:c>
      <x:c r="I8" s="40" t="n">
        <x:v>303644.63</x:v>
      </x:c>
      <x:c r="J8" s="37" t="n">
        <x:v>5</x:v>
      </x:c>
      <x:c r="K8" s="37" t="n">
        <x:v>2</x:v>
      </x:c>
      <x:c r="L8" t="str">
        <x:v>Protect</x:v>
      </x:c>
    </x:row>
    <x:row r="9">
      <x:c r="A9" t="str">
        <x:v>LATAM</x:v>
      </x:c>
      <x:c r="B9" t="str">
        <x:v>Second Class</x:v>
      </x:c>
      <x:c r="C9" s="37" t="n">
        <x:v>3307</x:v>
      </x:c>
      <x:c r="D9" s="37" t="n">
        <x:v>2624</x:v>
      </x:c>
      <x:c r="E9" s="38" t="n">
        <x:v>79.35</x:v>
      </x:c>
      <x:c r="F9" s="38" t="n">
        <x:v>6.98</x:v>
      </x:c>
      <x:c r="G9" s="39" t="n">
        <x:v>1.99</x:v>
      </x:c>
      <x:c r="H9" s="39" t="n">
        <x:v>1.42</x:v>
      </x:c>
      <x:c r="I9" s="40" t="n">
        <x:v>277052.94</x:v>
      </x:c>
      <x:c r="J9" s="37" t="n">
        <x:v>7</x:v>
      </x:c>
      <x:c r="K9" s="37" t="n">
        <x:v>3</x:v>
      </x:c>
      <x:c r="L9" t="str">
        <x:v>Protect</x:v>
      </x:c>
    </x:row>
    <x:row r="10">
      <x:c r="A10" t="str">
        <x:v>Pacific Asia</x:v>
      </x:c>
      <x:c r="B10" t="str">
        <x:v>Standard Class</x:v>
      </x:c>
      <x:c r="C10" s="37" t="n">
        <x:v>10481</x:v>
      </x:c>
      <x:c r="D10" s="37" t="n">
        <x:v>4219</x:v>
      </x:c>
      <x:c r="E10" s="38" t="n">
        <x:v>40.25</x:v>
      </x:c>
      <x:c r="F10" s="38" t="n">
        <x:v>11.23</x:v>
      </x:c>
      <x:c r="G10" s="39" t="n">
        <x:v>0.01</x:v>
      </x:c>
      <x:c r="H10" s="39" t="n">
        <x:v>1.42</x:v>
      </x:c>
      <x:c r="I10" s="40" t="n">
        <x:v>354965.89</x:v>
      </x:c>
      <x:c r="J10" s="37" t="n">
        <x:v>3</x:v>
      </x:c>
      <x:c r="K10" s="37" t="n">
        <x:v>4</x:v>
      </x:c>
      <x:c r="L10" t="str">
        <x:v>Stabilize</x:v>
      </x:c>
    </x:row>
    <x:row r="11">
      <x:c r="A11" t="str">
        <x:v>USCA</x:v>
      </x:c>
      <x:c r="B11" t="str">
        <x:v>Second Class</x:v>
      </x:c>
      <x:c r="C11" s="37" t="n">
        <x:v>1678</x:v>
      </x:c>
      <x:c r="D11" s="37" t="n">
        <x:v>1341</x:v>
      </x:c>
      <x:c r="E11" s="38" t="n">
        <x:v>79.92</x:v>
      </x:c>
      <x:c r="F11" s="38" t="n">
        <x:v>3.57</x:v>
      </x:c>
      <x:c r="G11" s="39" t="n">
        <x:v>1.99</x:v>
      </x:c>
      <x:c r="H11" s="39" t="n">
        <x:v>1.42</x:v>
      </x:c>
      <x:c r="I11" s="40" t="n">
        <x:v>143942.57</x:v>
      </x:c>
      <x:c r="J11" s="37" t="n">
        <x:v>11</x:v>
      </x:c>
      <x:c r="K11" s="37" t="n">
        <x:v>5</x:v>
      </x:c>
      <x:c r="L11" t="str">
        <x:v>Stabilize</x:v>
      </x:c>
    </x:row>
    <x:row r="12">
      <x:c r="A12" t="str">
        <x:v>LATAM</x:v>
      </x:c>
      <x:c r="B12" t="str">
        <x:v>Standard Class</x:v>
      </x:c>
      <x:c r="C12" s="37" t="n">
        <x:v>10323</x:v>
      </x:c>
      <x:c r="D12" s="37" t="n">
        <x:v>4072</x:v>
      </x:c>
      <x:c r="E12" s="38" t="n">
        <x:v>39.45</x:v>
      </x:c>
      <x:c r="F12" s="38" t="n">
        <x:v>10.83</x:v>
      </x:c>
      <x:c r="G12" s="39" t="n">
        <x:v>-0.01</x:v>
      </x:c>
      <x:c r="H12" s="39" t="n">
        <x:v>1.41</x:v>
      </x:c>
      <x:c r="I12" s="40" t="n">
        <x:v>427166.73</x:v>
      </x:c>
      <x:c r="J12" s="37" t="n">
        <x:v>2</x:v>
      </x:c>
      <x:c r="K12" s="37" t="n">
        <x:v>6</x:v>
      </x:c>
      <x:c r="L12" t="str">
        <x:v>Stabilize</x:v>
      </x:c>
    </x:row>
    <x:row r="13">
      <x:c r="A13" t="str">
        <x:v>Africa</x:v>
      </x:c>
      <x:c r="B13" t="str">
        <x:v>Second Class</x:v>
      </x:c>
      <x:c r="C13" s="37" t="n">
        <x:v>715</x:v>
      </x:c>
      <x:c r="D13" s="37" t="n">
        <x:v>573</x:v>
      </x:c>
      <x:c r="E13" s="38" t="n">
        <x:v>80.14</x:v>
      </x:c>
      <x:c r="F13" s="38" t="n">
        <x:v>1.52</x:v>
      </x:c>
      <x:c r="G13" s="39" t="n">
        <x:v>1.98</x:v>
      </x:c>
      <x:c r="H13" s="39" t="n">
        <x:v>1.41</x:v>
      </x:c>
      <x:c r="I13" s="40" t="n">
        <x:v>56477.4</x:v>
      </x:c>
      <x:c r="J13" s="37" t="n">
        <x:v>15</x:v>
      </x:c>
      <x:c r="K13" s="37" t="n">
        <x:v>7</x:v>
      </x:c>
      <x:c r="L13" t="str">
        <x:v>Stabilize</x:v>
      </x:c>
    </x:row>
    <x:row r="14">
      <x:c r="A14" t="str">
        <x:v>USCA</x:v>
      </x:c>
      <x:c r="B14" t="str">
        <x:v>Standard Class</x:v>
      </x:c>
      <x:c r="C14" s="37" t="n">
        <x:v>5097</x:v>
      </x:c>
      <x:c r="D14" s="37" t="n">
        <x:v>2032</x:v>
      </x:c>
      <x:c r="E14" s="38" t="n">
        <x:v>39.87</x:v>
      </x:c>
      <x:c r="F14" s="38" t="n">
        <x:v>5.41</x:v>
      </x:c>
      <x:c r="G14" s="39" t="n">
        <x:v>0</x:v>
      </x:c>
      <x:c r="H14" s="39" t="n">
        <x:v>1.41</x:v>
      </x:c>
      <x:c r="I14" s="40" t="n">
        <x:v>208452.86</x:v>
      </x:c>
      <x:c r="J14" s="37" t="n">
        <x:v>10</x:v>
      </x:c>
      <x:c r="K14" s="37" t="n">
        <x:v>8</x:v>
      </x:c>
      <x:c r="L14" t="str">
        <x:v>Monitor</x:v>
      </x:c>
    </x:row>
    <x:row r="15">
      <x:c r="A15" t="str">
        <x:v>Africa</x:v>
      </x:c>
      <x:c r="B15" t="str">
        <x:v>Standard Class</x:v>
      </x:c>
      <x:c r="C15" s="37" t="n">
        <x:v>2348</x:v>
      </x:c>
      <x:c r="D15" s="37" t="n">
        <x:v>939</x:v>
      </x:c>
      <x:c r="E15" s="38" t="n">
        <x:v>39.99</x:v>
      </x:c>
      <x:c r="F15" s="38" t="n">
        <x:v>2.5</x:v>
      </x:c>
      <x:c r="G15" s="39" t="n">
        <x:v>0.01</x:v>
      </x:c>
      <x:c r="H15" s="39" t="n">
        <x:v>1.41</x:v>
      </x:c>
      <x:c r="I15" s="40" t="n">
        <x:v>98827.77</x:v>
      </x:c>
      <x:c r="J15" s="37" t="n">
        <x:v>13</x:v>
      </x:c>
      <x:c r="K15" s="37" t="n">
        <x:v>9</x:v>
      </x:c>
      <x:c r="L15" t="str">
        <x:v>Maintain</x:v>
      </x:c>
    </x:row>
    <x:row r="16">
      <x:c r="A16" t="str">
        <x:v>Pacific Asia</x:v>
      </x:c>
      <x:c r="B16" t="str">
        <x:v>Second Class</x:v>
      </x:c>
      <x:c r="C16" s="37" t="n">
        <x:v>3469</x:v>
      </x:c>
      <x:c r="D16" s="37" t="n">
        <x:v>2789</x:v>
      </x:c>
      <x:c r="E16" s="38" t="n">
        <x:v>80.4</x:v>
      </x:c>
      <x:c r="F16" s="38" t="n">
        <x:v>7.42</x:v>
      </x:c>
      <x:c r="G16" s="39" t="n">
        <x:v>2.01</x:v>
      </x:c>
      <x:c r="H16" s="39" t="n">
        <x:v>1.4</x:v>
      </x:c>
      <x:c r="I16" s="40" t="n">
        <x:v>233471.68</x:v>
      </x:c>
      <x:c r="J16" s="37" t="n">
        <x:v>8</x:v>
      </x:c>
      <x:c r="K16" s="37" t="n">
        <x:v>10</x:v>
      </x:c>
      <x:c r="L16" t="str">
        <x:v>Protect</x:v>
      </x:c>
    </x:row>
    <x:row r="17">
      <x:c r="A17" t="str">
        <x:v>LATAM</x:v>
      </x:c>
      <x:c r="B17" t="str">
        <x:v>Same Day</x:v>
      </x:c>
      <x:c r="C17" s="37" t="n">
        <x:v>913</x:v>
      </x:c>
      <x:c r="D17" s="37" t="n">
        <x:v>470</x:v>
      </x:c>
      <x:c r="E17" s="38" t="n">
        <x:v>51.48</x:v>
      </x:c>
      <x:c r="F17" s="38" t="n">
        <x:v>1.25</x:v>
      </x:c>
      <x:c r="G17" s="39" t="n">
        <x:v>0.51</x:v>
      </x:c>
      <x:c r="H17" s="39" t="n">
        <x:v>0.5</x:v>
      </x:c>
      <x:c r="I17" s="40" t="n">
        <x:v>42977.9</x:v>
      </x:c>
      <x:c r="J17" s="37" t="n">
        <x:v>17</x:v>
      </x:c>
      <x:c r="K17" s="37" t="n">
        <x:v>11</x:v>
      </x:c>
      <x:c r="L17" t="str">
        <x:v>Monitor</x:v>
      </x:c>
    </x:row>
    <x:row r="18">
      <x:c r="A18" t="str">
        <x:v>Europe</x:v>
      </x:c>
      <x:c r="B18" t="str">
        <x:v>Same Day</x:v>
      </x:c>
      <x:c r="C18" s="37" t="n">
        <x:v>999</x:v>
      </x:c>
      <x:c r="D18" s="37" t="n">
        <x:v>480</x:v>
      </x:c>
      <x:c r="E18" s="38" t="n">
        <x:v>48.05</x:v>
      </x:c>
      <x:c r="F18" s="38" t="n">
        <x:v>1.28</x:v>
      </x:c>
      <x:c r="G18" s="39" t="n">
        <x:v>0.48</x:v>
      </x:c>
      <x:c r="H18" s="39" t="n">
        <x:v>0.5</x:v>
      </x:c>
      <x:c r="I18" s="40" t="n">
        <x:v>47960.83</x:v>
      </x:c>
      <x:c r="J18" s="37" t="n">
        <x:v>16</x:v>
      </x:c>
      <x:c r="K18" s="37" t="n">
        <x:v>12</x:v>
      </x:c>
      <x:c r="L18" t="str">
        <x:v>Monitor</x:v>
      </x:c>
    </x:row>
    <x:row r="19">
      <x:c r="A19" t="str">
        <x:v>Pacific Asia</x:v>
      </x:c>
      <x:c r="B19" t="str">
        <x:v>Same Day</x:v>
      </x:c>
      <x:c r="C19" s="37" t="n">
        <x:v>959</x:v>
      </x:c>
      <x:c r="D19" s="37" t="n">
        <x:v>456</x:v>
      </x:c>
      <x:c r="E19" s="38" t="n">
        <x:v>47.55</x:v>
      </x:c>
      <x:c r="F19" s="38" t="n">
        <x:v>1.21</x:v>
      </x:c>
      <x:c r="G19" s="39" t="n">
        <x:v>0.48</x:v>
      </x:c>
      <x:c r="H19" s="39" t="n">
        <x:v>0.5</x:v>
      </x:c>
      <x:c r="I19" s="40" t="n">
        <x:v>34767.35</x:v>
      </x:c>
      <x:c r="J19" s="37" t="n">
        <x:v>18</x:v>
      </x:c>
      <x:c r="K19" s="37" t="n">
        <x:v>13</x:v>
      </x:c>
      <x:c r="L19" t="str">
        <x:v>Maintain</x:v>
      </x:c>
    </x:row>
    <x:row r="20">
      <x:c r="A20" t="str">
        <x:v>USCA</x:v>
      </x:c>
      <x:c r="B20" t="str">
        <x:v>Same Day</x:v>
      </x:c>
      <x:c r="C20" s="37" t="n">
        <x:v>466</x:v>
      </x:c>
      <x:c r="D20" s="37" t="n">
        <x:v>208</x:v>
      </x:c>
      <x:c r="E20" s="38" t="n">
        <x:v>44.64</x:v>
      </x:c>
      <x:c r="F20" s="38" t="n">
        <x:v>0.55</x:v>
      </x:c>
      <x:c r="G20" s="39" t="n">
        <x:v>0.45</x:v>
      </x:c>
      <x:c r="H20" s="39" t="n">
        <x:v>0.5</x:v>
      </x:c>
      <x:c r="I20" s="40" t="n">
        <x:v>20338.55</x:v>
      </x:c>
      <x:c r="J20" s="37" t="n">
        <x:v>19</x:v>
      </x:c>
      <x:c r="K20" s="37" t="n">
        <x:v>14</x:v>
      </x:c>
      <x:c r="L20" t="str">
        <x:v>Maintain</x:v>
      </x:c>
    </x:row>
    <x:row r="21">
      <x:c r="A21" t="str">
        <x:v>Europe</x:v>
      </x:c>
      <x:c r="B21" t="str">
        <x:v>First Class</x:v>
      </x:c>
      <x:c r="C21" s="37" t="n">
        <x:v>2878</x:v>
      </x:c>
      <x:c r="D21" s="37" t="n">
        <x:v>2878</x:v>
      </x:c>
      <x:c r="E21" s="38" t="n">
        <x:v>100</x:v>
      </x:c>
      <x:c r="F21" s="38" t="n">
        <x:v>7.66</x:v>
      </x:c>
      <x:c r="G21" s="39" t="n">
        <x:v>1</x:v>
      </x:c>
      <x:c r="H21" s="39" t="n">
        <x:v>0</x:v>
      </x:c>
      <x:c r="I21" s="40" t="n">
        <x:v>309902.77</x:v>
      </x:c>
      <x:c r="J21" s="37" t="n">
        <x:v>4</x:v>
      </x:c>
      <x:c r="K21" s="37" t="n">
        <x:v>15</x:v>
      </x:c>
      <x:c r="L21" t="str">
        <x:v>Review SLA Definition</x:v>
      </x:c>
    </x:row>
    <x:row r="22">
      <x:c r="A22" t="str">
        <x:v>Pacific Asia</x:v>
      </x:c>
      <x:c r="B22" t="str">
        <x:v>First Class</x:v>
      </x:c>
      <x:c r="C22" s="37" t="n">
        <x:v>2668</x:v>
      </x:c>
      <x:c r="D22" s="37" t="n">
        <x:v>2668</x:v>
      </x:c>
      <x:c r="E22" s="38" t="n">
        <x:v>100</x:v>
      </x:c>
      <x:c r="F22" s="38" t="n">
        <x:v>7.1</x:v>
      </x:c>
      <x:c r="G22" s="39" t="n">
        <x:v>1</x:v>
      </x:c>
      <x:c r="H22" s="39" t="n">
        <x:v>0</x:v>
      </x:c>
      <x:c r="I22" s="40" t="n">
        <x:v>233132.37</x:v>
      </x:c>
      <x:c r="J22" s="37" t="n">
        <x:v>9</x:v>
      </x:c>
      <x:c r="K22" s="37" t="n">
        <x:v>16</x:v>
      </x:c>
      <x:c r="L22" t="str">
        <x:v>Review SLA Definition</x:v>
      </x:c>
    </x:row>
    <x:row r="23">
      <x:c r="A23" t="str">
        <x:v>LATAM</x:v>
      </x:c>
      <x:c r="B23" t="str">
        <x:v>First Class</x:v>
      </x:c>
      <x:c r="C23" s="37" t="n">
        <x:v>2638</x:v>
      </x:c>
      <x:c r="D23" s="37" t="n">
        <x:v>2638</x:v>
      </x:c>
      <x:c r="E23" s="38" t="n">
        <x:v>100</x:v>
      </x:c>
      <x:c r="F23" s="38" t="n">
        <x:v>7.02</x:v>
      </x:c>
      <x:c r="G23" s="39" t="n">
        <x:v>1</x:v>
      </x:c>
      <x:c r="H23" s="39" t="n">
        <x:v>0</x:v>
      </x:c>
      <x:c r="I23" s="40" t="n">
        <x:v>284501.2</x:v>
      </x:c>
      <x:c r="J23" s="37" t="n">
        <x:v>6</x:v>
      </x:c>
      <x:c r="K23" s="37" t="n">
        <x:v>17</x:v>
      </x:c>
      <x:c r="L23" t="str">
        <x:v>Review SLA Definition</x:v>
      </x:c>
    </x:row>
    <x:row r="24">
      <x:c r="A24" t="str">
        <x:v>USCA</x:v>
      </x:c>
      <x:c r="B24" t="str">
        <x:v>First Class</x:v>
      </x:c>
      <x:c r="C24" s="37" t="n">
        <x:v>1338</x:v>
      </x:c>
      <x:c r="D24" s="37" t="n">
        <x:v>1338</x:v>
      </x:c>
      <x:c r="E24" s="38" t="n">
        <x:v>100</x:v>
      </x:c>
      <x:c r="F24" s="38" t="n">
        <x:v>3.56</x:v>
      </x:c>
      <x:c r="G24" s="39" t="n">
        <x:v>1</x:v>
      </x:c>
      <x:c r="H24" s="39" t="n">
        <x:v>0</x:v>
      </x:c>
      <x:c r="I24" s="40" t="n">
        <x:v>139139.09</x:v>
      </x:c>
      <x:c r="J24" s="37" t="n">
        <x:v>12</x:v>
      </x:c>
      <x:c r="K24" s="37" t="n">
        <x:v>18</x:v>
      </x:c>
      <x:c r="L24" t="str">
        <x:v>Review SLA Definition</x:v>
      </x:c>
    </x:row>
    <x:row r="25">
      <x:c r="A25" t="str">
        <x:v>Africa</x:v>
      </x:c>
      <x:c r="B25" t="str">
        <x:v>First Class</x:v>
      </x:c>
      <x:c r="C25" s="37" t="n">
        <x:v>557</x:v>
      </x:c>
      <x:c r="D25" s="37" t="n">
        <x:v>557</x:v>
      </x:c>
      <x:c r="E25" s="38" t="n">
        <x:v>100</x:v>
      </x:c>
      <x:c r="F25" s="38" t="n">
        <x:v>1.48</x:v>
      </x:c>
      <x:c r="G25" s="39" t="n">
        <x:v>1</x:v>
      </x:c>
      <x:c r="H25" s="39" t="n">
        <x:v>0</x:v>
      </x:c>
      <x:c r="I25" s="40" t="n">
        <x:v>60050.09</x:v>
      </x:c>
      <x:c r="J25" s="37" t="n">
        <x:v>14</x:v>
      </x:c>
      <x:c r="K25" s="37" t="n">
        <x:v>19</x:v>
      </x:c>
      <x:c r="L25" t="str">
        <x:v>Review SLA Definition</x:v>
      </x:c>
    </x:row>
  </x:sheetData>
  <x:mergeCells>
    <x:mergeCell ref="A1:L1"/>
    <x:mergeCell ref="A3:L3"/>
  </x:mergeCells>
  <x:conditionalFormatting sqref="I7:I2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{F508F1FC-5C7D-8056-5A02-E59B4377EE92}</x14:id>
        </x:ext>
      </x:extLst>
    </x:cfRule>
  </x:conditionalFormatting>
  <x:conditionalFormatting sqref="E7:E25">
    <x:cfRule type="cellIs" dxfId="0" priority="2" operator="greaterThanOrEqual">
      <x:formula>0.7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aaeba880af4b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508F1FC-5C7D-8056-5A02-E59B4377EE92}">
            <x14:dataBar gradient="1">
              <x14:cfvo type="min"/>
              <x14:cfvo type="max"/>
              <x14:fillColor rgb="FF5B9BD5"/>
            </x14:dataBar>
          </x14:cfRule>
          <xm:sqref>I7:I25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" hidden="0" customWidth="1"/>
    <x:col min="3" max="3" width="10" hidden="0" customWidth="1"/>
    <x:col min="4" max="4" width="10.75" hidden="0" customWidth="1"/>
    <x:col min="5" max="5" width="9.630000114440918" hidden="0" customWidth="1"/>
    <x:col min="6" max="6" width="12" hidden="0" customWidth="1"/>
    <x:col min="7" max="7" width="10.25" hidden="0" customWidth="1"/>
    <x:col min="8" max="8" width="16.75" hidden="0" customWidth="1"/>
  </x:cols>
  <x:sheetData>
    <x:row r="1" ht="28" customHeight="1">
      <x:c r="A1" s="4" t="str">
        <x:v>Pivot Analysis | Lane Exceptions</x:v>
      </x:c>
      <x:c r="B1" s="4" t="str">
        <x:v>Pivot Analysis | Lane Exceptions</x:v>
      </x:c>
      <x:c r="C1" s="4" t="str">
        <x:v>Pivot Analysis | Lane Exceptions</x:v>
      </x:c>
      <x:c r="D1" s="4" t="str">
        <x:v>Pivot Analysis | Lane Exceptions</x:v>
      </x:c>
      <x:c r="E1" s="4" t="str">
        <x:v>Pivot Analysis | Lane Exceptions</x:v>
      </x:c>
      <x:c r="F1" s="4" t="str">
        <x:v>Pivot Analysis | Lane Exceptions</x:v>
      </x:c>
      <x:c r="G1" s="4" t="str">
        <x:v>Pivot Analysis | Lane Exceptions</x:v>
      </x:c>
      <x:c r="H1" s="4" t="str">
        <x:v>Pivot Analysis | Lane Exceptions</x:v>
      </x:c>
    </x:row>
    <x:row r="3">
      <x:c r="A3" s="7" t="str">
        <x:v>Use the Market and Shipping Mode slicers to focus the PivotTable. This view ranks the visible lanes by breached orders and profit exposure.</x:v>
      </x:c>
    </x:row>
    <x:row r="6">
      <x:c r="A6" s="15" t="str">
        <x:v>Market</x:v>
      </x:c>
      <x:c r="B6" s="31" t="str">
        <x:v>Shipping Mode</x:v>
      </x:c>
      <x:c r="C6" s="31" t="str">
        <x:v>Order Count</x:v>
      </x:c>
      <x:c r="D6" s="31" t="str">
        <x:v>Breach Count</x:v>
      </x:c>
      <x:c r="E6" s="31" t="str">
        <x:v>Breach Rate</x:v>
      </x:c>
      <x:c r="F6" s="31" t="str">
        <x:v>Avg Delay Days</x:v>
      </x:c>
      <x:c r="G6" s="31" t="str">
        <x:v>Profit at Risk</x:v>
      </x:c>
      <x:c r="H6" s="16" t="str">
        <x:v>Action Category</x:v>
      </x:c>
    </x:row>
    <x:row r="7">
      <x:c r="A7" s="17" t="str">
        <x:v>Europe</x:v>
      </x:c>
      <x:c r="B7" s="41" t="str">
        <x:v>Standard Class</x:v>
      </x:c>
      <x:c r="C7" s="44" t="n">
        <x:v>11075</x:v>
      </x:c>
      <x:c r="D7" s="44" t="n">
        <x:v>4417</x:v>
      </x:c>
      <x:c r="E7" s="46" t="n">
        <x:v>0.39880000000000004</x:v>
      </x:c>
      <x:c r="F7" s="48" t="n">
        <x:v>-0.01</x:v>
      </x:c>
      <x:c r="G7" s="50" t="n">
        <x:v>465247.74</x:v>
      </x:c>
      <x:c r="H7" s="18" t="str">
        <x:v>Stabilize</x:v>
      </x:c>
    </x:row>
    <x:row r="8">
      <x:c r="A8" s="19" t="str">
        <x:v>Europe</x:v>
      </x:c>
      <x:c r="B8" s="42" t="str">
        <x:v>Second Class</x:v>
      </x:c>
      <x:c r="C8" s="32" t="n">
        <x:v>3609</x:v>
      </x:c>
      <x:c r="D8" s="32" t="n">
        <x:v>2886</x:v>
      </x:c>
      <x:c r="E8" s="33" t="n">
        <x:v>0.7997</x:v>
      </x:c>
      <x:c r="F8" s="34" t="n">
        <x:v>2.01</x:v>
      </x:c>
      <x:c r="G8" s="35" t="n">
        <x:v>303644.63</x:v>
      </x:c>
      <x:c r="H8" s="20" t="str">
        <x:v>Protect</x:v>
      </x:c>
    </x:row>
    <x:row r="9">
      <x:c r="A9" s="19" t="str">
        <x:v>LATAM</x:v>
      </x:c>
      <x:c r="B9" s="42" t="str">
        <x:v>Second Class</x:v>
      </x:c>
      <x:c r="C9" s="32" t="n">
        <x:v>3307</x:v>
      </x:c>
      <x:c r="D9" s="32" t="n">
        <x:v>2624</x:v>
      </x:c>
      <x:c r="E9" s="33" t="n">
        <x:v>0.7935</x:v>
      </x:c>
      <x:c r="F9" s="34" t="n">
        <x:v>1.99</x:v>
      </x:c>
      <x:c r="G9" s="35" t="n">
        <x:v>277052.94</x:v>
      </x:c>
      <x:c r="H9" s="20" t="str">
        <x:v>Protect</x:v>
      </x:c>
    </x:row>
    <x:row r="10">
      <x:c r="A10" s="19" t="str">
        <x:v>Pacific Asia</x:v>
      </x:c>
      <x:c r="B10" s="42" t="str">
        <x:v>Standard Class</x:v>
      </x:c>
      <x:c r="C10" s="32" t="n">
        <x:v>10481</x:v>
      </x:c>
      <x:c r="D10" s="32" t="n">
        <x:v>4219</x:v>
      </x:c>
      <x:c r="E10" s="33" t="n">
        <x:v>0.4025</x:v>
      </x:c>
      <x:c r="F10" s="34" t="n">
        <x:v>0.01</x:v>
      </x:c>
      <x:c r="G10" s="35" t="n">
        <x:v>354965.89</x:v>
      </x:c>
      <x:c r="H10" s="20" t="str">
        <x:v>Stabilize</x:v>
      </x:c>
    </x:row>
    <x:row r="11">
      <x:c r="A11" s="19" t="str">
        <x:v>USCA</x:v>
      </x:c>
      <x:c r="B11" s="42" t="str">
        <x:v>Second Class</x:v>
      </x:c>
      <x:c r="C11" s="32" t="n">
        <x:v>1678</x:v>
      </x:c>
      <x:c r="D11" s="32" t="n">
        <x:v>1341</x:v>
      </x:c>
      <x:c r="E11" s="33" t="n">
        <x:v>0.7992</x:v>
      </x:c>
      <x:c r="F11" s="34" t="n">
        <x:v>1.99</x:v>
      </x:c>
      <x:c r="G11" s="35" t="n">
        <x:v>143942.57</x:v>
      </x:c>
      <x:c r="H11" s="20" t="str">
        <x:v>Stabilize</x:v>
      </x:c>
    </x:row>
    <x:row r="12">
      <x:c r="A12" s="19" t="str">
        <x:v>LATAM</x:v>
      </x:c>
      <x:c r="B12" s="42" t="str">
        <x:v>Standard Class</x:v>
      </x:c>
      <x:c r="C12" s="32" t="n">
        <x:v>10323</x:v>
      </x:c>
      <x:c r="D12" s="32" t="n">
        <x:v>4072</x:v>
      </x:c>
      <x:c r="E12" s="33" t="n">
        <x:v>0.3945</x:v>
      </x:c>
      <x:c r="F12" s="34" t="n">
        <x:v>-0.01</x:v>
      </x:c>
      <x:c r="G12" s="35" t="n">
        <x:v>427166.73</x:v>
      </x:c>
      <x:c r="H12" s="20" t="str">
        <x:v>Stabilize</x:v>
      </x:c>
    </x:row>
    <x:row r="13">
      <x:c r="A13" s="19" t="str">
        <x:v>Africa</x:v>
      </x:c>
      <x:c r="B13" s="42" t="str">
        <x:v>Second Class</x:v>
      </x:c>
      <x:c r="C13" s="32" t="n">
        <x:v>715</x:v>
      </x:c>
      <x:c r="D13" s="32" t="n">
        <x:v>573</x:v>
      </x:c>
      <x:c r="E13" s="33" t="n">
        <x:v>0.8014</x:v>
      </x:c>
      <x:c r="F13" s="34" t="n">
        <x:v>1.98</x:v>
      </x:c>
      <x:c r="G13" s="35" t="n">
        <x:v>56477.4</x:v>
      </x:c>
      <x:c r="H13" s="20" t="str">
        <x:v>Stabilize</x:v>
      </x:c>
    </x:row>
    <x:row r="14">
      <x:c r="A14" s="19" t="str">
        <x:v>USCA</x:v>
      </x:c>
      <x:c r="B14" s="42" t="str">
        <x:v>Standard Class</x:v>
      </x:c>
      <x:c r="C14" s="32" t="n">
        <x:v>5097</x:v>
      </x:c>
      <x:c r="D14" s="32" t="n">
        <x:v>2032</x:v>
      </x:c>
      <x:c r="E14" s="33" t="n">
        <x:v>0.3987</x:v>
      </x:c>
      <x:c r="F14" s="34" t="n">
        <x:v>0</x:v>
      </x:c>
      <x:c r="G14" s="35" t="n">
        <x:v>208452.86</x:v>
      </x:c>
      <x:c r="H14" s="20" t="str">
        <x:v>Monitor</x:v>
      </x:c>
    </x:row>
    <x:row r="15">
      <x:c r="A15" s="19" t="str">
        <x:v>Africa</x:v>
      </x:c>
      <x:c r="B15" s="42" t="str">
        <x:v>Standard Class</x:v>
      </x:c>
      <x:c r="C15" s="32" t="n">
        <x:v>2348</x:v>
      </x:c>
      <x:c r="D15" s="32" t="n">
        <x:v>939</x:v>
      </x:c>
      <x:c r="E15" s="33" t="n">
        <x:v>0.39990000000000003</x:v>
      </x:c>
      <x:c r="F15" s="34" t="n">
        <x:v>0.01</x:v>
      </x:c>
      <x:c r="G15" s="35" t="n">
        <x:v>98827.77</x:v>
      </x:c>
      <x:c r="H15" s="20" t="str">
        <x:v>Maintain</x:v>
      </x:c>
    </x:row>
    <x:row r="16">
      <x:c r="A16" s="19" t="str">
        <x:v>Pacific Asia</x:v>
      </x:c>
      <x:c r="B16" s="42" t="str">
        <x:v>Second Class</x:v>
      </x:c>
      <x:c r="C16" s="32" t="n">
        <x:v>3469</x:v>
      </x:c>
      <x:c r="D16" s="32" t="n">
        <x:v>2789</x:v>
      </x:c>
      <x:c r="E16" s="33" t="n">
        <x:v>0.804</x:v>
      </x:c>
      <x:c r="F16" s="34" t="n">
        <x:v>2.01</x:v>
      </x:c>
      <x:c r="G16" s="35" t="n">
        <x:v>233471.68</x:v>
      </x:c>
      <x:c r="H16" s="20" t="str">
        <x:v>Protect</x:v>
      </x:c>
    </x:row>
    <x:row r="17">
      <x:c r="A17" s="19" t="str">
        <x:v>LATAM</x:v>
      </x:c>
      <x:c r="B17" s="42" t="str">
        <x:v>Same Day</x:v>
      </x:c>
      <x:c r="C17" s="32" t="n">
        <x:v>913</x:v>
      </x:c>
      <x:c r="D17" s="32" t="n">
        <x:v>470</x:v>
      </x:c>
      <x:c r="E17" s="33" t="n">
        <x:v>0.5147999999999999</x:v>
      </x:c>
      <x:c r="F17" s="34" t="n">
        <x:v>0.51</x:v>
      </x:c>
      <x:c r="G17" s="35" t="n">
        <x:v>42977.9</x:v>
      </x:c>
      <x:c r="H17" s="20" t="str">
        <x:v>Monitor</x:v>
      </x:c>
    </x:row>
    <x:row r="18">
      <x:c r="A18" s="19" t="str">
        <x:v>Europe</x:v>
      </x:c>
      <x:c r="B18" s="42" t="str">
        <x:v>Same Day</x:v>
      </x:c>
      <x:c r="C18" s="32" t="n">
        <x:v>999</x:v>
      </x:c>
      <x:c r="D18" s="32" t="n">
        <x:v>480</x:v>
      </x:c>
      <x:c r="E18" s="33" t="n">
        <x:v>0.4805</x:v>
      </x:c>
      <x:c r="F18" s="34" t="n">
        <x:v>0.48</x:v>
      </x:c>
      <x:c r="G18" s="35" t="n">
        <x:v>47960.83</x:v>
      </x:c>
      <x:c r="H18" s="20" t="str">
        <x:v>Monitor</x:v>
      </x:c>
    </x:row>
    <x:row r="19">
      <x:c r="A19" s="19" t="str">
        <x:v>Pacific Asia</x:v>
      </x:c>
      <x:c r="B19" s="42" t="str">
        <x:v>Same Day</x:v>
      </x:c>
      <x:c r="C19" s="32" t="n">
        <x:v>959</x:v>
      </x:c>
      <x:c r="D19" s="32" t="n">
        <x:v>456</x:v>
      </x:c>
      <x:c r="E19" s="33" t="n">
        <x:v>0.4755</x:v>
      </x:c>
      <x:c r="F19" s="34" t="n">
        <x:v>0.48</x:v>
      </x:c>
      <x:c r="G19" s="35" t="n">
        <x:v>34767.35</x:v>
      </x:c>
      <x:c r="H19" s="20" t="str">
        <x:v>Maintain</x:v>
      </x:c>
    </x:row>
    <x:row r="20">
      <x:c r="A20" s="19" t="str">
        <x:v>USCA</x:v>
      </x:c>
      <x:c r="B20" s="42" t="str">
        <x:v>Same Day</x:v>
      </x:c>
      <x:c r="C20" s="32" t="n">
        <x:v>466</x:v>
      </x:c>
      <x:c r="D20" s="32" t="n">
        <x:v>208</x:v>
      </x:c>
      <x:c r="E20" s="33" t="n">
        <x:v>0.4464</x:v>
      </x:c>
      <x:c r="F20" s="34" t="n">
        <x:v>0.45</x:v>
      </x:c>
      <x:c r="G20" s="35" t="n">
        <x:v>20338.55</x:v>
      </x:c>
      <x:c r="H20" s="20" t="str">
        <x:v>Maintain</x:v>
      </x:c>
    </x:row>
    <x:row r="21">
      <x:c r="A21" s="19" t="str">
        <x:v>Europe</x:v>
      </x:c>
      <x:c r="B21" s="42" t="str">
        <x:v>First Class</x:v>
      </x:c>
      <x:c r="C21" s="32" t="n">
        <x:v>2878</x:v>
      </x:c>
      <x:c r="D21" s="32" t="n">
        <x:v>2878</x:v>
      </x:c>
      <x:c r="E21" s="33" t="n">
        <x:v>1</x:v>
      </x:c>
      <x:c r="F21" s="34" t="n">
        <x:v>1</x:v>
      </x:c>
      <x:c r="G21" s="35" t="n">
        <x:v>309902.77</x:v>
      </x:c>
      <x:c r="H21" s="20" t="str">
        <x:v>Review SLA Definition</x:v>
      </x:c>
    </x:row>
    <x:row r="22">
      <x:c r="A22" s="19" t="str">
        <x:v>Pacific Asia</x:v>
      </x:c>
      <x:c r="B22" s="42" t="str">
        <x:v>First Class</x:v>
      </x:c>
      <x:c r="C22" s="32" t="n">
        <x:v>2668</x:v>
      </x:c>
      <x:c r="D22" s="32" t="n">
        <x:v>2668</x:v>
      </x:c>
      <x:c r="E22" s="33" t="n">
        <x:v>1</x:v>
      </x:c>
      <x:c r="F22" s="34" t="n">
        <x:v>1</x:v>
      </x:c>
      <x:c r="G22" s="35" t="n">
        <x:v>233132.37</x:v>
      </x:c>
      <x:c r="H22" s="20" t="str">
        <x:v>Review SLA Definition</x:v>
      </x:c>
    </x:row>
    <x:row r="23">
      <x:c r="A23" s="19" t="str">
        <x:v>LATAM</x:v>
      </x:c>
      <x:c r="B23" s="42" t="str">
        <x:v>First Class</x:v>
      </x:c>
      <x:c r="C23" s="32" t="n">
        <x:v>2638</x:v>
      </x:c>
      <x:c r="D23" s="32" t="n">
        <x:v>2638</x:v>
      </x:c>
      <x:c r="E23" s="33" t="n">
        <x:v>1</x:v>
      </x:c>
      <x:c r="F23" s="34" t="n">
        <x:v>1</x:v>
      </x:c>
      <x:c r="G23" s="35" t="n">
        <x:v>284501.2</x:v>
      </x:c>
      <x:c r="H23" s="20" t="str">
        <x:v>Review SLA Definition</x:v>
      </x:c>
    </x:row>
    <x:row r="24">
      <x:c r="A24" s="19" t="str">
        <x:v>USCA</x:v>
      </x:c>
      <x:c r="B24" s="42" t="str">
        <x:v>First Class</x:v>
      </x:c>
      <x:c r="C24" s="32" t="n">
        <x:v>1338</x:v>
      </x:c>
      <x:c r="D24" s="32" t="n">
        <x:v>1338</x:v>
      </x:c>
      <x:c r="E24" s="33" t="n">
        <x:v>1</x:v>
      </x:c>
      <x:c r="F24" s="34" t="n">
        <x:v>1</x:v>
      </x:c>
      <x:c r="G24" s="35" t="n">
        <x:v>139139.09</x:v>
      </x:c>
      <x:c r="H24" s="20" t="str">
        <x:v>Review SLA Definition</x:v>
      </x:c>
    </x:row>
    <x:row r="25">
      <x:c r="A25" s="21" t="str">
        <x:v>Africa</x:v>
      </x:c>
      <x:c r="B25" s="43" t="str">
        <x:v>First Class</x:v>
      </x:c>
      <x:c r="C25" s="45" t="n">
        <x:v>557</x:v>
      </x:c>
      <x:c r="D25" s="45" t="n">
        <x:v>557</x:v>
      </x:c>
      <x:c r="E25" s="47" t="n">
        <x:v>1</x:v>
      </x:c>
      <x:c r="F25" s="49" t="n">
        <x:v>1</x:v>
      </x:c>
      <x:c r="G25" s="51" t="n">
        <x:v>60050.09</x:v>
      </x:c>
      <x:c r="H25" s="22" t="str">
        <x:v>Review SLA Definition</x:v>
      </x:c>
    </x:row>
  </x:sheetData>
  <x:mergeCells>
    <x:mergeCell ref="A1:H1"/>
    <x:mergeCell ref="A3:H3"/>
  </x:mergeCells>
  <x:conditionalFormatting sqref="G7:G25">
    <x:cfRule type="dataBar" priority="1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{9E42CC13-C6AE-DC22-84E9-DB25D4277987}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E42CC13-C6AE-DC22-84E9-DB25D4277987}">
            <x14:dataBar gradient="1">
              <x14:cfvo type="min"/>
              <x14:cfvo type="max"/>
              <x14:fillColor rgb="FFED7D31"/>
            </x14:dataBar>
          </x14:cfRule>
          <xm:sqref>G7:G25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.75" hidden="0" customWidth="1"/>
    <x:col min="2" max="2" width="38.130001068115234" hidden="0" customWidth="1"/>
    <x:col min="3" max="3" width="38.130001068115234" hidden="0" customWidth="1"/>
    <x:col min="4" max="4" width="38.130001068115234" hidden="0" customWidth="1"/>
    <x:col min="5" max="5" width="38.130001068115234" hidden="0" customWidth="1"/>
    <x:col min="6" max="6" width="38.130001068115234" hidden="0" customWidth="1"/>
    <x:col min="7" max="7" width="38.130001068115234" hidden="0" customWidth="1"/>
    <x:col min="8" max="8" width="38.130001068115234" hidden="0" customWidth="1"/>
    <x:col min="9" max="9" width="38.130001068115234" hidden="0" customWidth="1"/>
    <x:col min="10" max="10" width="38.130001068115234" hidden="0" customWidth="1"/>
    <x:col min="11" max="11" width="38.130001068115234" hidden="0" customWidth="1"/>
    <x:col min="12" max="12" width="25" hidden="0" customWidth="1"/>
  </x:cols>
  <x:sheetData>
    <x:row r="1" ht="28" customHeight="1">
      <x:c r="A1" s="4" t="str">
        <x:v>Exception Report | Priority Queue</x:v>
      </x:c>
      <x:c r="B1" s="4" t="str">
        <x:v>Exception Report | Priority Queue</x:v>
      </x:c>
      <x:c r="C1" s="4" t="str">
        <x:v>Exception Report | Priority Queue</x:v>
      </x:c>
      <x:c r="D1" s="4" t="str">
        <x:v>Exception Report | Priority Queue</x:v>
      </x:c>
      <x:c r="E1" s="4" t="str">
        <x:v>Exception Report | Priority Queue</x:v>
      </x:c>
      <x:c r="F1" s="4" t="str">
        <x:v>Exception Report | Priority Queue</x:v>
      </x:c>
      <x:c r="G1" s="4" t="str">
        <x:v>Exception Report | Priority Queue</x:v>
      </x:c>
      <x:c r="H1" s="4" t="str">
        <x:v>Exception Report | Priority Queue</x:v>
      </x:c>
      <x:c r="I1" s="4" t="str">
        <x:v>Exception Report | Priority Queue</x:v>
      </x:c>
      <x:c r="J1" s="4" t="str">
        <x:v>Exception Report | Priority Queue</x:v>
      </x:c>
      <x:c r="K1" s="4" t="str">
        <x:v>Exception Report | Priority Queue</x:v>
      </x:c>
      <x:c r="L1" s="4" t="str">
        <x:v>Exception Report | Priority Queue</x:v>
      </x:c>
    </x:row>
    <x:row r="3">
      <x:c r="A3" s="54" t="str">
        <x:v>Action category filter</x:v>
      </x:c>
      <x:c r="B3" s="55" t="str">
        <x:v>Protect</x:v>
      </x:c>
      <x:c r="D3" s="15" t="str">
        <x:v>Exception lanes</x:v>
      </x:c>
      <x:c r="E3" s="31" t="str">
        <x:v>Orders in scope</x:v>
      </x:c>
      <x:c r="F3" s="31" t="str">
        <x:v>Breaches</x:v>
      </x:c>
      <x:c r="G3" s="16" t="str">
        <x:v>Profit at risk</x:v>
      </x:c>
    </x:row>
    <x:row r="4">
      <x:c r="D4" s="63" t="n">
        <x:f>COUNTIFS('Refresh Data'!$L$7:$L$25,$B$3)</x:f>
        <x:v>3</x:v>
      </x:c>
      <x:c r="E4" s="64" t="n">
        <x:f>SUMIFS('Refresh Data'!$C$7:$C$25,'Refresh Data'!$L$7:$L$25,$B$3)</x:f>
        <x:v>10385</x:v>
      </x:c>
      <x:c r="F4" s="64" t="n">
        <x:f>SUMIFS('Refresh Data'!$D$7:$D$25,'Refresh Data'!$L$7:$L$25,$B$3)</x:f>
        <x:v>8299</x:v>
      </x:c>
      <x:c r="G4" s="65" t="n">
        <x:f>SUMIFS('Refresh Data'!$I$7:$I$25,'Refresh Data'!$L$7:$L$25,$B$3)</x:f>
        <x:v>814169.25</x:v>
      </x:c>
    </x:row>
    <x:row r="5">
      <x:c r="A5" s="7" t="str">
        <x:v>Initial queue: Protect lanes. The selector above updates the COUNTIFS/SUMIFS impact cards; use the PivotTable slicers for an interactive lane-level filter.</x:v>
      </x:c>
    </x:row>
    <x:row r="6">
      <x:c r="A6" s="15" t="str">
        <x:v>market</x:v>
      </x:c>
      <x:c r="B6" s="31" t="str">
        <x:v>shipping_mode</x:v>
      </x:c>
      <x:c r="C6" s="31" t="str">
        <x:v>order_count</x:v>
      </x:c>
      <x:c r="D6" s="31" t="str">
        <x:v>breach_count</x:v>
      </x:c>
      <x:c r="E6" s="31" t="str">
        <x:v>breach_rate_pct</x:v>
      </x:c>
      <x:c r="F6" s="31" t="str">
        <x:v>breach_share_pct</x:v>
      </x:c>
      <x:c r="G6" s="31" t="str">
        <x:v>avg_delay_days</x:v>
      </x:c>
      <x:c r="H6" s="31" t="str">
        <x:v>delay_sd</x:v>
      </x:c>
      <x:c r="I6" s="31" t="str">
        <x:v>profit_at_risk</x:v>
      </x:c>
      <x:c r="J6" s="31" t="str">
        <x:v>profit_risk_rank</x:v>
      </x:c>
      <x:c r="K6" s="31" t="str">
        <x:v>variability_priority_rank</x:v>
      </x:c>
      <x:c r="L6" s="16" t="str">
        <x:v>action_category</x:v>
      </x:c>
    </x:row>
    <x:row r="7">
      <x:c r="A7" s="17" t="str">
        <x:v>Europe</x:v>
      </x:c>
      <x:c r="B7" s="41" t="str">
        <x:v>Second Class</x:v>
      </x:c>
      <x:c r="C7" s="44" t="n">
        <x:v>3609</x:v>
      </x:c>
      <x:c r="D7" s="44" t="n">
        <x:v>2886</x:v>
      </x:c>
      <x:c r="E7" s="46" t="n">
        <x:v>79.97</x:v>
      </x:c>
      <x:c r="F7" s="46" t="n">
        <x:v>7.68</x:v>
      </x:c>
      <x:c r="G7" s="48" t="n">
        <x:v>2.01</x:v>
      </x:c>
      <x:c r="H7" s="48" t="n">
        <x:v>1.42</x:v>
      </x:c>
      <x:c r="I7" s="50" t="n">
        <x:v>303644.63</x:v>
      </x:c>
      <x:c r="J7" s="41" t="n">
        <x:v>5</x:v>
      </x:c>
      <x:c r="K7" s="41" t="n">
        <x:v>2</x:v>
      </x:c>
      <x:c r="L7" s="18" t="str">
        <x:v>Protect</x:v>
      </x:c>
    </x:row>
    <x:row r="8">
      <x:c r="A8" s="19" t="str">
        <x:v>LATAM</x:v>
      </x:c>
      <x:c r="B8" s="42" t="str">
        <x:v>Second Class</x:v>
      </x:c>
      <x:c r="C8" s="32" t="n">
        <x:v>3307</x:v>
      </x:c>
      <x:c r="D8" s="32" t="n">
        <x:v>2624</x:v>
      </x:c>
      <x:c r="E8" s="33" t="n">
        <x:v>79.35</x:v>
      </x:c>
      <x:c r="F8" s="33" t="n">
        <x:v>6.98</x:v>
      </x:c>
      <x:c r="G8" s="34" t="n">
        <x:v>1.99</x:v>
      </x:c>
      <x:c r="H8" s="34" t="n">
        <x:v>1.42</x:v>
      </x:c>
      <x:c r="I8" s="35" t="n">
        <x:v>277052.94</x:v>
      </x:c>
      <x:c r="J8" s="42" t="n">
        <x:v>7</x:v>
      </x:c>
      <x:c r="K8" s="42" t="n">
        <x:v>3</x:v>
      </x:c>
      <x:c r="L8" s="20" t="str">
        <x:v>Protect</x:v>
      </x:c>
    </x:row>
    <x:row r="9">
      <x:c r="A9" s="19" t="str">
        <x:v>Pacific Asia</x:v>
      </x:c>
      <x:c r="B9" s="42" t="str">
        <x:v>Second Class</x:v>
      </x:c>
      <x:c r="C9" s="32" t="n">
        <x:v>3469</x:v>
      </x:c>
      <x:c r="D9" s="32" t="n">
        <x:v>2789</x:v>
      </x:c>
      <x:c r="E9" s="33" t="n">
        <x:v>80.4</x:v>
      </x:c>
      <x:c r="F9" s="33" t="n">
        <x:v>7.42</x:v>
      </x:c>
      <x:c r="G9" s="34" t="n">
        <x:v>2.01</x:v>
      </x:c>
      <x:c r="H9" s="34" t="n">
        <x:v>1.4</x:v>
      </x:c>
      <x:c r="I9" s="35" t="n">
        <x:v>233471.68</x:v>
      </x:c>
      <x:c r="J9" s="42" t="n">
        <x:v>8</x:v>
      </x:c>
      <x:c r="K9" s="42" t="n">
        <x:v>10</x:v>
      </x:c>
      <x:c r="L9" s="20" t="str">
        <x:v>Protect</x:v>
      </x:c>
    </x:row>
    <x:row r="10">
      <x:c r="A10" s="19"/>
      <x:c r="B10" s="42"/>
      <x:c r="C10" s="32"/>
      <x:c r="D10" s="32"/>
      <x:c r="E10" s="33"/>
      <x:c r="F10" s="33"/>
      <x:c r="G10" s="34"/>
      <x:c r="H10" s="34"/>
      <x:c r="I10" s="35"/>
      <x:c r="J10" s="42"/>
      <x:c r="K10" s="42"/>
      <x:c r="L10" s="20"/>
    </x:row>
    <x:row r="11">
      <x:c r="A11" s="19"/>
      <x:c r="B11" s="42"/>
      <x:c r="C11" s="32"/>
      <x:c r="D11" s="32"/>
      <x:c r="E11" s="33"/>
      <x:c r="F11" s="33"/>
      <x:c r="G11" s="34"/>
      <x:c r="H11" s="34"/>
      <x:c r="I11" s="35"/>
      <x:c r="J11" s="42"/>
      <x:c r="K11" s="42"/>
      <x:c r="L11" s="20"/>
    </x:row>
    <x:row r="12">
      <x:c r="A12" s="19"/>
      <x:c r="B12" s="42"/>
      <x:c r="C12" s="32"/>
      <x:c r="D12" s="32"/>
      <x:c r="E12" s="33"/>
      <x:c r="F12" s="33"/>
      <x:c r="G12" s="34"/>
      <x:c r="H12" s="34"/>
      <x:c r="I12" s="35"/>
      <x:c r="J12" s="42"/>
      <x:c r="K12" s="42"/>
      <x:c r="L12" s="20"/>
    </x:row>
    <x:row r="13">
      <x:c r="A13" s="19"/>
      <x:c r="B13" s="42"/>
      <x:c r="C13" s="32"/>
      <x:c r="D13" s="32"/>
      <x:c r="E13" s="33"/>
      <x:c r="F13" s="33"/>
      <x:c r="G13" s="34"/>
      <x:c r="H13" s="34"/>
      <x:c r="I13" s="35"/>
      <x:c r="J13" s="42"/>
      <x:c r="K13" s="42"/>
      <x:c r="L13" s="20"/>
    </x:row>
    <x:row r="14">
      <x:c r="A14" s="19"/>
      <x:c r="B14" s="42"/>
      <x:c r="C14" s="32"/>
      <x:c r="D14" s="32"/>
      <x:c r="E14" s="33"/>
      <x:c r="F14" s="33"/>
      <x:c r="G14" s="34"/>
      <x:c r="H14" s="34"/>
      <x:c r="I14" s="35"/>
      <x:c r="J14" s="42"/>
      <x:c r="K14" s="42"/>
      <x:c r="L14" s="20"/>
    </x:row>
    <x:row r="15">
      <x:c r="A15" s="19"/>
      <x:c r="B15" s="42"/>
      <x:c r="C15" s="32"/>
      <x:c r="D15" s="32"/>
      <x:c r="E15" s="33"/>
      <x:c r="F15" s="33"/>
      <x:c r="G15" s="34"/>
      <x:c r="H15" s="34"/>
      <x:c r="I15" s="35"/>
      <x:c r="J15" s="42"/>
      <x:c r="K15" s="42"/>
      <x:c r="L15" s="20"/>
    </x:row>
    <x:row r="16">
      <x:c r="A16" s="19"/>
      <x:c r="B16" s="42"/>
      <x:c r="C16" s="32"/>
      <x:c r="D16" s="32"/>
      <x:c r="E16" s="33"/>
      <x:c r="F16" s="33"/>
      <x:c r="G16" s="34"/>
      <x:c r="H16" s="34"/>
      <x:c r="I16" s="35"/>
      <x:c r="J16" s="42"/>
      <x:c r="K16" s="42"/>
      <x:c r="L16" s="20"/>
    </x:row>
    <x:row r="17">
      <x:c r="A17" s="19"/>
      <x:c r="B17" s="42"/>
      <x:c r="C17" s="32"/>
      <x:c r="D17" s="32"/>
      <x:c r="E17" s="33"/>
      <x:c r="F17" s="33"/>
      <x:c r="G17" s="34"/>
      <x:c r="H17" s="34"/>
      <x:c r="I17" s="35"/>
      <x:c r="J17" s="42"/>
      <x:c r="K17" s="42"/>
      <x:c r="L17" s="20"/>
    </x:row>
    <x:row r="18">
      <x:c r="A18" s="19"/>
      <x:c r="B18" s="42"/>
      <x:c r="C18" s="32"/>
      <x:c r="D18" s="32"/>
      <x:c r="E18" s="33"/>
      <x:c r="F18" s="33"/>
      <x:c r="G18" s="34"/>
      <x:c r="H18" s="34"/>
      <x:c r="I18" s="35"/>
      <x:c r="J18" s="42"/>
      <x:c r="K18" s="42"/>
      <x:c r="L18" s="20"/>
    </x:row>
    <x:row r="19">
      <x:c r="A19" s="19"/>
      <x:c r="B19" s="42"/>
      <x:c r="C19" s="32"/>
      <x:c r="D19" s="32"/>
      <x:c r="E19" s="33"/>
      <x:c r="F19" s="33"/>
      <x:c r="G19" s="34"/>
      <x:c r="H19" s="34"/>
      <x:c r="I19" s="35"/>
      <x:c r="J19" s="42"/>
      <x:c r="K19" s="42"/>
      <x:c r="L19" s="20"/>
    </x:row>
    <x:row r="20">
      <x:c r="A20" s="19"/>
      <x:c r="B20" s="42"/>
      <x:c r="C20" s="32"/>
      <x:c r="D20" s="32"/>
      <x:c r="E20" s="33"/>
      <x:c r="F20" s="33"/>
      <x:c r="G20" s="34"/>
      <x:c r="H20" s="34"/>
      <x:c r="I20" s="35"/>
      <x:c r="J20" s="42"/>
      <x:c r="K20" s="42"/>
      <x:c r="L20" s="20"/>
    </x:row>
    <x:row r="21">
      <x:c r="A21" s="19"/>
      <x:c r="B21" s="42"/>
      <x:c r="C21" s="32"/>
      <x:c r="D21" s="32"/>
      <x:c r="E21" s="33"/>
      <x:c r="F21" s="33"/>
      <x:c r="G21" s="34"/>
      <x:c r="H21" s="34"/>
      <x:c r="I21" s="35"/>
      <x:c r="J21" s="42"/>
      <x:c r="K21" s="42"/>
      <x:c r="L21" s="20"/>
    </x:row>
    <x:row r="22">
      <x:c r="A22" s="19"/>
      <x:c r="B22" s="42"/>
      <x:c r="C22" s="32"/>
      <x:c r="D22" s="32"/>
      <x:c r="E22" s="33"/>
      <x:c r="F22" s="33"/>
      <x:c r="G22" s="34"/>
      <x:c r="H22" s="34"/>
      <x:c r="I22" s="35"/>
      <x:c r="J22" s="42"/>
      <x:c r="K22" s="42"/>
      <x:c r="L22" s="20"/>
    </x:row>
    <x:row r="23">
      <x:c r="A23" s="19"/>
      <x:c r="B23" s="42"/>
      <x:c r="C23" s="32"/>
      <x:c r="D23" s="32"/>
      <x:c r="E23" s="33"/>
      <x:c r="F23" s="33"/>
      <x:c r="G23" s="34"/>
      <x:c r="H23" s="34"/>
      <x:c r="I23" s="35"/>
      <x:c r="J23" s="42"/>
      <x:c r="K23" s="42"/>
      <x:c r="L23" s="20"/>
    </x:row>
    <x:row r="24">
      <x:c r="A24" s="19"/>
      <x:c r="B24" s="42"/>
      <x:c r="C24" s="32"/>
      <x:c r="D24" s="32"/>
      <x:c r="E24" s="33"/>
      <x:c r="F24" s="33"/>
      <x:c r="G24" s="34"/>
      <x:c r="H24" s="34"/>
      <x:c r="I24" s="35"/>
      <x:c r="J24" s="42"/>
      <x:c r="K24" s="42"/>
      <x:c r="L24" s="20"/>
    </x:row>
    <x:row r="25">
      <x:c r="A25" s="21"/>
      <x:c r="B25" s="43"/>
      <x:c r="C25" s="45"/>
      <x:c r="D25" s="45"/>
      <x:c r="E25" s="47"/>
      <x:c r="F25" s="47"/>
      <x:c r="G25" s="49"/>
      <x:c r="H25" s="49"/>
      <x:c r="I25" s="51"/>
      <x:c r="J25" s="43"/>
      <x:c r="K25" s="43"/>
      <x:c r="L25" s="22"/>
    </x:row>
  </x:sheetData>
  <x:mergeCells>
    <x:mergeCell ref="A1:L1"/>
    <x:mergeCell ref="A5:L5"/>
  </x:mergeCells>
  <x:conditionalFormatting sqref="E7:E25">
    <x:cfRule type="cellIs" dxfId="1" priority="1" operator="greaterThanOrEqual">
      <x:formula>0.7</x:formula>
    </x:cfRule>
  </x:conditionalFormatting>
  <x:conditionalFormatting sqref="I7:I25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{FB8D433E-D812-3A58-ABF1-0A5EB79A688E}</x14:id>
        </x:ext>
      </x:extLst>
    </x:cfRule>
  </x:conditionalFormatting>
  <x:dataValidations count="1">
    <x:dataValidation type="list" sqref="B3">
      <x:formula1>"Protect,Stabilize,Monitor,Maintain,Review SLA Definition"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B8D433E-D812-3A58-ABF1-0A5EB79A688E}">
            <x14:dataBar gradient="1">
              <x14:cfvo type="min"/>
              <x14:cfvo type="max"/>
              <x14:fillColor rgb="FFED7D31"/>
            </x14:dataBar>
          </x14:cfRule>
          <xm:sqref>I7:I25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</x:cols>
  <x:sheetData>
    <x:row r="1" ht="28" customHeight="1">
      <x:c r="A1" s="4" t="str">
        <x:v>Scenario Model | What if Carrier Delay Rises 10%?</x:v>
      </x:c>
      <x:c r="B1" s="4" t="str">
        <x:v>Scenario Model | What if Carrier Delay Rises 10%?</x:v>
      </x:c>
      <x:c r="C1" s="4" t="str">
        <x:v>Scenario Model | What if Carrier Delay Rises 10%?</x:v>
      </x:c>
      <x:c r="D1" s="4" t="str">
        <x:v>Scenario Model | What if Carrier Delay Rises 10%?</x:v>
      </x:c>
      <x:c r="E1" s="4" t="str">
        <x:v>Scenario Model | What if Carrier Delay Rises 10%?</x:v>
      </x:c>
      <x:c r="F1" s="4" t="str">
        <x:v>Scenario Model | What if Carrier Delay Rises 10%?</x:v>
      </x:c>
    </x:row>
    <x:row r="3">
      <x:c r="A3" s="7" t="str">
        <x:v>A transparent sensitivity model for discussion and pilot design. It applies a proportional 10% delay shock to the selected service mode; it is not a forecast of realized breaches or savings.</x:v>
      </x:c>
    </x:row>
    <x:row r="5">
      <x:c r="A5" s="10" t="str">
        <x:v>Editable assumptions</x:v>
      </x:c>
      <x:c r="B5" s="10" t="str">
        <x:v>Editable assumptions</x:v>
      </x:c>
    </x:row>
    <x:row r="6">
      <x:c r="A6" s="17" t="str">
        <x:v>Carrier delay increase</x:v>
      </x:c>
      <x:c r="B6" s="67" t="n">
        <x:v>0.1</x:v>
      </x:c>
    </x:row>
    <x:row r="7">
      <x:c r="A7" s="19" t="str">
        <x:v>Shipping mode</x:v>
      </x:c>
      <x:c r="B7" s="68" t="str">
        <x:v>Second Class</x:v>
      </x:c>
    </x:row>
    <x:row r="8">
      <x:c r="A8" s="19"/>
      <x:c r="B8" s="20"/>
    </x:row>
    <x:row r="9">
      <x:c r="A9" s="69" t="str">
        <x:v>Baseline from shipping-mode mart (XLOOKUP)</x:v>
      </x:c>
      <x:c r="B9" s="70" t="str">
        <x:v>Baseline from shipping-mode mart (XLOOKUP)</x:v>
      </x:c>
    </x:row>
    <x:row r="10">
      <x:c r="A10" s="19" t="str">
        <x:v>Orders in scope</x:v>
      </x:c>
      <x:c r="B10" s="71" t="n">
        <x:f>INDEX('Refresh Data'!$C$7:$C$25,MATCH($B$7,'Refresh Data'!$B$7:$B$25,0))</x:f>
        <x:v>3609</x:v>
      </x:c>
    </x:row>
    <x:row r="11">
      <x:c r="A11" s="19" t="str">
        <x:v>Breached orders</x:v>
      </x:c>
      <x:c r="B11" s="71" t="n">
        <x:f>INDEX('Refresh Data'!$D$7:$D$25,MATCH($B$7,'Refresh Data'!$B$7:$B$25,0))</x:f>
        <x:v>2886</x:v>
      </x:c>
    </x:row>
    <x:row r="12">
      <x:c r="A12" s="19" t="str">
        <x:v>Breach rate</x:v>
      </x:c>
      <x:c r="B12" s="72" t="n">
        <x:f>INDEX('Refresh Data'!$E$7:$E$25,MATCH($B$7,'Refresh Data'!$B$7:$B$25,0))/100</x:f>
        <x:v>0.7997</x:v>
      </x:c>
    </x:row>
    <x:row r="13">
      <x:c r="A13" s="19" t="str">
        <x:v>Average delay days</x:v>
      </x:c>
      <x:c r="B13" s="73" t="n">
        <x:f>INDEX('Refresh Data'!$G$7:$G$25,MATCH($B$7,'Refresh Data'!$B$7:$B$25,0))</x:f>
        <x:v>2.01</x:v>
      </x:c>
    </x:row>
    <x:row r="14">
      <x:c r="A14" s="19" t="str">
        <x:v>Profit at risk</x:v>
      </x:c>
      <x:c r="B14" s="74" t="n">
        <x:f>INDEX('Refresh Data'!$I$7:$I$25,MATCH($B$7,'Refresh Data'!$B$7:$B$25,0))</x:f>
        <x:v>303644.63</x:v>
      </x:c>
    </x:row>
    <x:row r="15">
      <x:c r="A15" s="19"/>
      <x:c r="B15" s="20"/>
    </x:row>
    <x:row r="16">
      <x:c r="A16" s="69" t="str">
        <x:v>Modeled impact of the delay shock</x:v>
      </x:c>
      <x:c r="B16" s="70" t="str">
        <x:v>Modeled impact of the delay shock</x:v>
      </x:c>
    </x:row>
    <x:row r="17">
      <x:c r="A17" s="19" t="str">
        <x:v>Additional delay days</x:v>
      </x:c>
      <x:c r="B17" s="73" t="n">
        <x:f>B13*$B$6</x:f>
        <x:v>0.20099999999999998</x:v>
      </x:c>
    </x:row>
    <x:row r="18">
      <x:c r="A18" s="19" t="str">
        <x:v>Scenario breach rate</x:v>
      </x:c>
      <x:c r="B18" s="72" t="n">
        <x:f>MIN(1,B12*(1+$B$6))</x:f>
        <x:v>0.8796700000000001</x:v>
      </x:c>
    </x:row>
    <x:row r="19">
      <x:c r="A19" s="19" t="str">
        <x:v>Modeled incremental breaches</x:v>
      </x:c>
      <x:c r="B19" s="71" t="n">
        <x:f>B11*$B$6</x:f>
        <x:v>288.6</x:v>
      </x:c>
    </x:row>
    <x:row r="20">
      <x:c r="A20" s="21" t="str">
        <x:v>Modeled incremental profit exposure</x:v>
      </x:c>
      <x:c r="B20" s="75" t="n">
        <x:f>B14*$B$6</x:f>
        <x:v>30364.463000000003</x:v>
      </x:c>
    </x:row>
  </x:sheetData>
  <x:mergeCells>
    <x:mergeCell ref="A1:F1"/>
    <x:mergeCell ref="A3:F3"/>
    <x:mergeCell ref="A5:B5"/>
    <x:mergeCell ref="A9:B9"/>
    <x:mergeCell ref="A16:B16"/>
  </x:mergeCells>
  <x:dataValidations count="1">
    <x:dataValidation type="list" sqref="B7">
      <x:formula1>"First Class,Second Class,Same Day,Standard Class"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</x:cols>
  <x:sheetData>
    <x:row r="1" ht="28" customHeight="1">
      <x:c r="A1" s="4" t="str">
        <x:v>Data Refresh | Source and Transformation Controls</x:v>
      </x:c>
      <x:c r="B1" s="4" t="str">
        <x:v>Data Refresh | Source and Transformation Controls</x:v>
      </x:c>
      <x:c r="C1" s="4" t="str">
        <x:v>Data Refresh | Source and Transformation Controls</x:v>
      </x:c>
      <x:c r="D1" s="4" t="str">
        <x:v>Data Refresh | Source and Transformation Controls</x:v>
      </x:c>
      <x:c r="E1" s="4" t="str">
        <x:v>Data Refresh | Source and Transformation Controls</x:v>
      </x:c>
      <x:c r="F1" s="4" t="str">
        <x:v>Data Refresh | Source and Transformation Controls</x:v>
      </x:c>
      <x:c r="G1" s="4" t="str">
        <x:v>Data Refresh | Source and Transformation Controls</x:v>
      </x:c>
      <x:c r="H1" s="4" t="str">
        <x:v>Data Refresh | Source and Transformation Controls</x:v>
      </x:c>
    </x:row>
    <x:row r="3">
      <x:c r="A3" s="7" t="str">
        <x:v>The included VBA macro uses RefreshAll. Configure the query below once in Excel, then the refresh + export process becomes one action.</x:v>
      </x:c>
    </x:row>
    <x:row r="5">
      <x:c r="A5" s="10" t="str">
        <x:v>Refresh configuration</x:v>
      </x:c>
      <x:c r="B5" s="10" t="str">
        <x:v>Refresh configuration</x:v>
      </x:c>
      <x:c r="C5" s="10" t="str">
        <x:v>Refresh configuration</x:v>
      </x:c>
      <x:c r="D5" s="10" t="str">
        <x:v>Refresh configuration</x:v>
      </x:c>
      <x:c r="E5" s="10" t="str">
        <x:v>Refresh configuration</x:v>
      </x:c>
      <x:c r="F5" s="10" t="str">
        <x:v>Refresh configuration</x:v>
      </x:c>
      <x:c r="G5" s="10" t="str">
        <x:v>Refresh configuration</x:v>
      </x:c>
      <x:c r="H5" s="10" t="str">
        <x:v>Refresh configuration</x:v>
      </x:c>
    </x:row>
    <x:row r="6">
      <x:c r="A6" s="15" t="str">
        <x:v>Control</x:v>
      </x:c>
      <x:c r="B6" s="16" t="str">
        <x:v>Operational standard</x:v>
      </x:c>
    </x:row>
    <x:row r="7">
      <x:c r="A7" s="23" t="str">
        <x:v>Source</x:v>
      </x:c>
      <x:c r="B7" s="24" t="str">
        <x:v>Use data/mart_lane_reliability.csv as the current operational-lane source.</x:v>
      </x:c>
    </x:row>
    <x:row r="8">
      <x:c r="A8" s="25" t="str">
        <x:v>Data quality</x:v>
      </x:c>
      <x:c r="B8" s="26" t="str">
        <x:v>Trim market, shipping mode and action category; apply numeric types before loading the lane table.</x:v>
      </x:c>
    </x:row>
    <x:row r="9">
      <x:c r="A9" s="25" t="str">
        <x:v>Load target</x:v>
      </x:c>
      <x:c r="B9" s="26" t="str">
        <x:v>Replace the Refresh Data table named tblLaneData so downstream controls continue to work.</x:v>
      </x:c>
    </x:row>
    <x:row r="10">
      <x:c r="A10" s="27" t="str">
        <x:v>Refresh cadence</x:v>
      </x:c>
      <x:c r="B10" s="28" t="str">
        <x:v>Refresh before exception review; run the export macro only after the updated figures have been checked.</x:v>
      </x:c>
    </x:row>
    <x:row r="12">
      <x:c r="A12" s="10" t="str">
        <x:v>Transformation logic</x:v>
      </x:c>
      <x:c r="B12" s="10" t="str">
        <x:v>Transformation logic</x:v>
      </x:c>
      <x:c r="C12" s="10" t="str">
        <x:v>Transformation logic</x:v>
      </x:c>
      <x:c r="D12" s="10" t="str">
        <x:v>Transformation logic</x:v>
      </x:c>
      <x:c r="E12" s="10" t="str">
        <x:v>Transformation logic</x:v>
      </x:c>
      <x:c r="F12" s="10" t="str">
        <x:v>Transformation logic</x:v>
      </x:c>
      <x:c r="G12" s="10" t="str">
        <x:v>Transformation logic</x:v>
      </x:c>
      <x:c r="H12" s="10" t="str">
        <x:v>Transformation logic</x:v>
      </x:c>
    </x:row>
    <x:row r="13" ht="18" customHeight="1">
      <x:c r="A13" s="80" t="str">
        <x:v>let
    Source = Csv.Document(File.Contents("D:\Personal Projects\Supply chain\.codex-work\supply-chain-excel\\..\\..\\data\\mart_lane_reliability.csv"), [Delimiter=",", Encoding=65001, QuoteStyle=QuoteStyle.Csv]),
    PromotedHeaders = Table.PromoteHeaders(Source, [PromoteAllScalars=true]),
    TrimmedText = Table.TransformColumns(PromotedHeaders, {{"market", Text.Trim, type text}, {"shipping_mode", Text.Trim, type text}, {"action_category", Text.Trim, type text}}),
    Typed = Table.TransformColumnTypes(TrimmedText, {{"order_count", Int64.Type}, {"breach_count", Int64.Type}, {"breach_rate_pct", type number}, {"avg_delay_days", type number}, {"profit_at_risk", Currency.Type}})
in
    Typed</x:v>
      </x:c>
    </x:row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</x:sheetData>
  <x:mergeCells>
    <x:mergeCell ref="A1:H1"/>
    <x:mergeCell ref="A3:H3"/>
    <x:mergeCell ref="A5:H5"/>
    <x:mergeCell ref="A12:H12"/>
    <x:mergeCell ref="A13:H20"/>
  </x:mergeCells>
  <x:pageMargins left="0.7" right="0.7" top="0.75" bottom="0.75" header="0.3" footer="0.3"/>
</x:worksheet>
</file>