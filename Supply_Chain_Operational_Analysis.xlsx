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ersonal Projects\Supply chain\"/>
    </mc:Choice>
  </mc:AlternateContent>
  <xr:revisionPtr revIDLastSave="0" documentId="13_ncr:1_{AD9DA636-56F6-4514-A841-16EBB71C2B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ecutive Summary" sheetId="1" r:id="rId1"/>
    <sheet name="Data Quality" sheetId="2" r:id="rId2"/>
    <sheet name="KPI Data" sheetId="3" r:id="rId3"/>
    <sheet name="Profit Priority" sheetId="4" r:id="rId4"/>
    <sheet name="Shipping Modes" sheetId="5" r:id="rId5"/>
    <sheet name="Operational Lanes" sheetId="6" r:id="rId6"/>
    <sheet name="Market Analysis" sheetId="7" r:id="rId7"/>
    <sheet name="Customer Segments" sheetId="8" r:id="rId8"/>
    <sheet name="Opportunity Scenarios" sheetId="9" r:id="rId9"/>
    <sheet name="Monthly Trends" sheetId="10" r:id="rId10"/>
    <sheet name="SLA Promise Gap" sheetId="11" r:id="rId11"/>
    <sheet name="Data Dictionary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2" l="1"/>
  <c r="B12" i="2"/>
  <c r="D12" i="2" s="1"/>
  <c r="C11" i="2"/>
  <c r="B11" i="2"/>
  <c r="D11" i="2" s="1"/>
  <c r="C10" i="2"/>
  <c r="B10" i="2"/>
  <c r="D10" i="2" s="1"/>
  <c r="C9" i="2"/>
  <c r="B9" i="2"/>
  <c r="D9" i="2" s="1"/>
  <c r="C8" i="2"/>
  <c r="B8" i="2"/>
  <c r="D8" i="2" s="1"/>
  <c r="C7" i="2"/>
  <c r="B7" i="2"/>
  <c r="D7" i="2" s="1"/>
  <c r="C6" i="2"/>
  <c r="B6" i="2"/>
  <c r="D6" i="2" s="1"/>
  <c r="E18" i="1"/>
  <c r="D18" i="1"/>
  <c r="B18" i="1"/>
  <c r="A18" i="1"/>
  <c r="E17" i="1"/>
  <c r="D17" i="1"/>
  <c r="B17" i="1"/>
  <c r="A17" i="1"/>
  <c r="E16" i="1"/>
  <c r="D16" i="1"/>
  <c r="B16" i="1"/>
  <c r="A16" i="1"/>
  <c r="E15" i="1"/>
  <c r="D15" i="1"/>
  <c r="B15" i="1"/>
  <c r="A15" i="1"/>
  <c r="G6" i="1"/>
  <c r="E6" i="1"/>
  <c r="C6" i="1"/>
  <c r="A6" i="1"/>
</calcChain>
</file>

<file path=xl/sharedStrings.xml><?xml version="1.0" encoding="utf-8"?>
<sst xmlns="http://schemas.openxmlformats.org/spreadsheetml/2006/main" count="298" uniqueCount="188">
  <si>
    <t>Supply Chain SLA Risk &amp; Profit Protection</t>
  </si>
  <si>
    <t>Order-level operational view | 65,752 orders | modeled opportunities require pilot validation</t>
  </si>
  <si>
    <t>Total Orders</t>
  </si>
  <si>
    <t>SLA Breach Rate</t>
  </si>
  <si>
    <t>High-Value Profit Exposure</t>
  </si>
  <si>
    <t>Top-5 Lane Breach Share</t>
  </si>
  <si>
    <t>Management Readout</t>
  </si>
  <si>
    <t>High-value orders receive no measurable SLA advantage. Second Class is the clearest operational recovery opportunity, while five high-variability market-mode segments concentrate 41.21% of grouped breaches. Prioritize a one-day Second Class pilot, a high-value routing guardrail, and lane-specific stabilization.</t>
  </si>
  <si>
    <t>Data Quality &amp; Reconciliation</t>
  </si>
  <si>
    <t>Controls confirm grain, completeness, and agreement across independently aggregated marts</t>
  </si>
  <si>
    <t>Control</t>
  </si>
  <si>
    <t>Observed</t>
  </si>
  <si>
    <t>Expected</t>
  </si>
  <si>
    <t>Status</t>
  </si>
  <si>
    <t>Order count: executive vs customer segments</t>
  </si>
  <si>
    <t>Order count: executive vs profit quartiles</t>
  </si>
  <si>
    <t>Profit: executive vs market analysis</t>
  </si>
  <si>
    <t>Profit: executive vs customer segments</t>
  </si>
  <si>
    <t>Profit exposure: executive vs profit quartiles</t>
  </si>
  <si>
    <t>Negative profit exposure rows</t>
  </si>
  <si>
    <t>Opportunity scenarios have caveats</t>
  </si>
  <si>
    <t>Validated Model Facts</t>
  </si>
  <si>
    <t>Source order-item rows</t>
  </si>
  <si>
    <t>Distinct orders</t>
  </si>
  <si>
    <t>Average items per order</t>
  </si>
  <si>
    <t>Missing SLA flags</t>
  </si>
  <si>
    <t>MAX vs SUM disagreement orders</t>
  </si>
  <si>
    <t>Dimension stability exceptions</t>
  </si>
  <si>
    <t>total_orders</t>
  </si>
  <si>
    <t>breached_orders</t>
  </si>
  <si>
    <t>breach_rate_pct</t>
  </si>
  <si>
    <t>total_profit</t>
  </si>
  <si>
    <t>total_profit_at_risk</t>
  </si>
  <si>
    <t>high_value_profit_at_risk</t>
  </si>
  <si>
    <t>top_5_unstable_lane_breach_share_pct</t>
  </si>
  <si>
    <t>profit_quartile</t>
  </si>
  <si>
    <t>profit_tier</t>
  </si>
  <si>
    <t>order_count</t>
  </si>
  <si>
    <t>breach_count</t>
  </si>
  <si>
    <t>avg_delay_days</t>
  </si>
  <si>
    <t>profit_at_risk</t>
  </si>
  <si>
    <t>Highest profit</t>
  </si>
  <si>
    <t>Upper-middle profit</t>
  </si>
  <si>
    <t>Lower-middle profit</t>
  </si>
  <si>
    <t>Lowest profit</t>
  </si>
  <si>
    <t>shipping_mode</t>
  </si>
  <si>
    <t>avg_scheduled_days</t>
  </si>
  <si>
    <t>avg_actual_days</t>
  </si>
  <si>
    <t>performance_band</t>
  </si>
  <si>
    <t>interpretation_note</t>
  </si>
  <si>
    <t>First Class</t>
  </si>
  <si>
    <t>High risk</t>
  </si>
  <si>
    <t>Structural SLA artifact - disclose separately; do not treat as operational variability</t>
  </si>
  <si>
    <t>Second Class</t>
  </si>
  <si>
    <t>Primary service-promise concern</t>
  </si>
  <si>
    <t>Same Day</t>
  </si>
  <si>
    <t>Stable</t>
  </si>
  <si>
    <t>Operational comparison</t>
  </si>
  <si>
    <t>Standard Class</t>
  </si>
  <si>
    <t>market</t>
  </si>
  <si>
    <t>breach_share_pct</t>
  </si>
  <si>
    <t>delay_sd</t>
  </si>
  <si>
    <t>profit_risk_rank</t>
  </si>
  <si>
    <t>variability_priority_rank</t>
  </si>
  <si>
    <t>action_category</t>
  </si>
  <si>
    <t>Europe</t>
  </si>
  <si>
    <t>Stabilize</t>
  </si>
  <si>
    <t>Protect</t>
  </si>
  <si>
    <t>LATAM</t>
  </si>
  <si>
    <t>Pacific Asia</t>
  </si>
  <si>
    <t>USCA</t>
  </si>
  <si>
    <t>Africa</t>
  </si>
  <si>
    <t>Monitor</t>
  </si>
  <si>
    <t>Maintain</t>
  </si>
  <si>
    <t>Review SLA Definition</t>
  </si>
  <si>
    <t>revenue</t>
  </si>
  <si>
    <t>profit</t>
  </si>
  <si>
    <t>margin_pct</t>
  </si>
  <si>
    <t>volume_share_pct</t>
  </si>
  <si>
    <t>profit_share_pct</t>
  </si>
  <si>
    <t>efficiency_gap_pct</t>
  </si>
  <si>
    <t>customer_segment</t>
  </si>
  <si>
    <t>Consumer</t>
  </si>
  <si>
    <t>Corporate</t>
  </si>
  <si>
    <t>Home Office</t>
  </si>
  <si>
    <t>scenario</t>
  </si>
  <si>
    <t>orders_in_scope</t>
  </si>
  <si>
    <t>breaches_or_avoidable_breaches</t>
  </si>
  <si>
    <t>profit_exposure</t>
  </si>
  <si>
    <t>supporting_metric</t>
  </si>
  <si>
    <t>caveat</t>
  </si>
  <si>
    <t>Scenario 1: One-Day Second Class Recovery</t>
  </si>
  <si>
    <t>Modeled: reduce actual Second Class delivery time by 1 day. Requires operational pilot validation -- not a realized saving.</t>
  </si>
  <si>
    <t>Scenario 2: High-Value Routing Guardrail</t>
  </si>
  <si>
    <t>Modeled routing scenario: assumes Q1 Second Class orders would match Standard Class breach rate if rerouted. Not proven savings -- requires pilot validation.</t>
  </si>
  <si>
    <t>Scenario 3: Top-Five Operational-Lane Stabilization</t>
  </si>
  <si>
    <t>Modeled: 20% relative breach reduction across the 5 lanes ranked highest by variability_priority_rank. Requires pilot validation -- not a realized saving.</t>
  </si>
  <si>
    <t>order_month</t>
  </si>
  <si>
    <t>breach_rate_mom_change</t>
  </si>
  <si>
    <t>par_mom_change</t>
  </si>
  <si>
    <t>2015-01-01</t>
  </si>
  <si>
    <t>2015-02-01</t>
  </si>
  <si>
    <t>2015-03-01</t>
  </si>
  <si>
    <t>2015-04-01</t>
  </si>
  <si>
    <t>2015-05-01</t>
  </si>
  <si>
    <t>2015-06-01</t>
  </si>
  <si>
    <t>2015-07-01</t>
  </si>
  <si>
    <t>2015-08-01</t>
  </si>
  <si>
    <t>2015-09-01</t>
  </si>
  <si>
    <t>2015-10-01</t>
  </si>
  <si>
    <t>2015-11-01</t>
  </si>
  <si>
    <t>2015-12-01</t>
  </si>
  <si>
    <t>2016-01-01</t>
  </si>
  <si>
    <t>2016-02-01</t>
  </si>
  <si>
    <t>2016-03-01</t>
  </si>
  <si>
    <t>2016-04-01</t>
  </si>
  <si>
    <t>2016-05-01</t>
  </si>
  <si>
    <t>2016-06-01</t>
  </si>
  <si>
    <t>2016-07-01</t>
  </si>
  <si>
    <t>2016-08-01</t>
  </si>
  <si>
    <t>2016-09-01</t>
  </si>
  <si>
    <t>2016-10-01</t>
  </si>
  <si>
    <t>2016-11-01</t>
  </si>
  <si>
    <t>2016-12-01</t>
  </si>
  <si>
    <t>2017-01-01</t>
  </si>
  <si>
    <t>2017-02-01</t>
  </si>
  <si>
    <t>2017-03-01</t>
  </si>
  <si>
    <t>2017-04-01</t>
  </si>
  <si>
    <t>2017-05-01</t>
  </si>
  <si>
    <t>2017-06-01</t>
  </si>
  <si>
    <t>2017-07-01</t>
  </si>
  <si>
    <t>2017-08-01</t>
  </si>
  <si>
    <t>2017-09-01</t>
  </si>
  <si>
    <t>2017-10-01</t>
  </si>
  <si>
    <t>2017-11-01</t>
  </si>
  <si>
    <t>2017-12-01</t>
  </si>
  <si>
    <t>2018-01-01</t>
  </si>
  <si>
    <t>p50_actual_days</t>
  </si>
  <si>
    <t>p90_actual_days</t>
  </si>
  <si>
    <t>avg_promise_gap</t>
  </si>
  <si>
    <t>realigned_sla_days</t>
  </si>
  <si>
    <t>root_cause</t>
  </si>
  <si>
    <t>Promise miscalibration - SLA commitment is systematically too aggressive</t>
  </si>
  <si>
    <t>Operational variability - delivery times vary widely around the promise</t>
  </si>
  <si>
    <t>Acceptable performance</t>
  </si>
  <si>
    <t>Data Dictionary</t>
  </si>
  <si>
    <t>Action Category</t>
  </si>
  <si>
    <t>Operational Meaning</t>
  </si>
  <si>
    <t>High profit exposure and high breach risk</t>
  </si>
  <si>
    <t>High delivery variability requiring process control</t>
  </si>
  <si>
    <t>Field</t>
  </si>
  <si>
    <t>Definition</t>
  </si>
  <si>
    <t>Grain</t>
  </si>
  <si>
    <t>Business Use</t>
  </si>
  <si>
    <t>Elevated exposure on one priority dimension</t>
  </si>
  <si>
    <t>order_id</t>
  </si>
  <si>
    <t>Unique order identifier</t>
  </si>
  <si>
    <t>Order</t>
  </si>
  <si>
    <t>Order counting and reconciliation</t>
  </si>
  <si>
    <t>Lower relative exposure and variability</t>
  </si>
  <si>
    <t>order_profit</t>
  </si>
  <si>
    <t>Sum of item-level profit within an order</t>
  </si>
  <si>
    <t>Value segmentation</t>
  </si>
  <si>
    <t>Structural First Class pattern; review promise logic separately</t>
  </si>
  <si>
    <t>Positive order profit where SLA was breached</t>
  </si>
  <si>
    <t>Recoverable exposure</t>
  </si>
  <si>
    <t>sla_breached</t>
  </si>
  <si>
    <t>Actual delivery exceeded scheduled delivery</t>
  </si>
  <si>
    <t>Service performance</t>
  </si>
  <si>
    <t>delay_days</t>
  </si>
  <si>
    <t>Actual minus scheduled delivery days</t>
  </si>
  <si>
    <t>Delay severity and variability</t>
  </si>
  <si>
    <t>operational lane</t>
  </si>
  <si>
    <t>Market x shipping-mode segment</t>
  </si>
  <si>
    <t>Segment</t>
  </si>
  <si>
    <t>Intervention prioritization</t>
  </si>
  <si>
    <t>Deterministic lane rank by delay SD and tie-breakers</t>
  </si>
  <si>
    <t>Lane</t>
  </si>
  <si>
    <t>Top-five instability claims</t>
  </si>
  <si>
    <t>Protect, Stabilize, Monitor, Maintain, or Review SLA Definition</t>
  </si>
  <si>
    <t>Decision workflow</t>
  </si>
  <si>
    <t>modeled opportunity</t>
  </si>
  <si>
    <t>Scenario result under a stated assumption</t>
  </si>
  <si>
    <t>Scenario</t>
  </si>
  <si>
    <t>Pilot sizing; not realized savings</t>
  </si>
  <si>
    <t>profit quartile</t>
  </si>
  <si>
    <t>NTILE(4) ordered by summed order profit descending</t>
  </si>
  <si>
    <t>Value-aware service comparison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</si>
</sst>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\$0.00,,&quot;M&quot;"/>
    <numFmt numFmtId="166" formatCode="\$#,##0"/>
    <numFmt numFmtId="167" formatCode="\$#,##0.00"/>
  </numFmts>
  <fonts count="11">
    <font>
      <sz val="11"/>
      <name val="Carlito"/>
    </font>
    <font>
      <b/>
      <sz val="20"/>
      <color rgb="FFFFFFFF"/>
      <name val="Carlito"/>
    </font>
    <font>
      <i/>
      <sz val="10"/>
      <color rgb="FF526675"/>
      <name val="Carlito"/>
    </font>
    <font>
      <b/>
      <sz val="11"/>
      <color rgb="FF17324D"/>
      <name val="Carlito"/>
    </font>
    <font>
      <b/>
      <sz val="20"/>
      <color rgb="FF17324D"/>
      <name val="Carlito"/>
    </font>
    <font>
      <b/>
      <sz val="12"/>
      <color rgb="FFFFFFFF"/>
      <name val="Carlito"/>
    </font>
    <font>
      <sz val="11"/>
      <color rgb="FF243746"/>
      <name val="Carlito"/>
    </font>
    <font>
      <b/>
      <sz val="11"/>
      <color rgb="FFFFFFFF"/>
      <name val="Carlito"/>
    </font>
    <font>
      <sz val="10"/>
      <color rgb="FF243746"/>
      <name val="Aptos"/>
    </font>
    <font>
      <b/>
      <sz val="10"/>
      <color rgb="FFFFFFFF"/>
      <name val="Aptos"/>
    </font>
    <font>
      <b/>
      <sz val="18"/>
      <color rgb="FFFFFFFF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8EEF2"/>
      </patternFill>
    </fill>
    <fill>
      <patternFill patternType="solid">
        <fgColor rgb="FFFFFFFF"/>
      </patternFill>
    </fill>
    <fill>
      <patternFill patternType="solid">
        <fgColor rgb="FF167D8D"/>
      </patternFill>
    </fill>
    <fill>
      <patternFill patternType="solid">
        <fgColor rgb="FFF4F7F9"/>
      </patternFill>
    </fill>
  </fills>
  <borders count="15">
    <border>
      <left/>
      <right/>
      <top/>
      <bottom/>
      <diagonal/>
    </border>
    <border>
      <left style="thin">
        <color rgb="FFD7E0E5"/>
      </left>
      <right/>
      <top style="thin">
        <color rgb="FFD7E0E5"/>
      </top>
      <bottom/>
      <diagonal/>
    </border>
    <border>
      <left/>
      <right/>
      <top style="thin">
        <color rgb="FFD7E0E5"/>
      </top>
      <bottom/>
      <diagonal/>
    </border>
    <border>
      <left/>
      <right style="thin">
        <color rgb="FFD7E0E5"/>
      </right>
      <top style="thin">
        <color rgb="FFD7E0E5"/>
      </top>
      <bottom/>
      <diagonal/>
    </border>
    <border>
      <left style="thin">
        <color rgb="FFD7E0E5"/>
      </left>
      <right/>
      <top/>
      <bottom/>
      <diagonal/>
    </border>
    <border>
      <left/>
      <right style="thin">
        <color rgb="FFD7E0E5"/>
      </right>
      <top/>
      <bottom/>
      <diagonal/>
    </border>
    <border>
      <left style="thin">
        <color rgb="FFD7E0E5"/>
      </left>
      <right/>
      <top/>
      <bottom style="thin">
        <color rgb="FFD7E0E5"/>
      </bottom>
      <diagonal/>
    </border>
    <border>
      <left/>
      <right/>
      <top/>
      <bottom style="thin">
        <color rgb="FFD7E0E5"/>
      </bottom>
      <diagonal/>
    </border>
    <border>
      <left/>
      <right style="thin">
        <color rgb="FFD7E0E5"/>
      </right>
      <top/>
      <bottom style="thin">
        <color rgb="FFD7E0E5"/>
      </bottom>
      <diagonal/>
    </border>
    <border>
      <left style="thin">
        <color rgb="FFD7E0E5"/>
      </left>
      <right style="thin">
        <color rgb="FFD7E0E5"/>
      </right>
      <top/>
      <bottom style="thin">
        <color rgb="FFD7E0E5"/>
      </bottom>
      <diagonal/>
    </border>
    <border>
      <left/>
      <right style="thin">
        <color rgb="FFD7E0E5"/>
      </right>
      <top style="thin">
        <color rgb="FFD7E0E5"/>
      </top>
      <bottom style="thin">
        <color rgb="FFD7E0E5"/>
      </bottom>
      <diagonal/>
    </border>
    <border>
      <left style="thin">
        <color rgb="FFD7E0E5"/>
      </left>
      <right style="thin">
        <color rgb="FFD7E0E5"/>
      </right>
      <top style="thin">
        <color rgb="FFD7E0E5"/>
      </top>
      <bottom style="thin">
        <color rgb="FFD7E0E5"/>
      </bottom>
      <diagonal/>
    </border>
    <border>
      <left style="thin">
        <color rgb="FFD7E0E5"/>
      </left>
      <right/>
      <top style="thin">
        <color rgb="FFD7E0E5"/>
      </top>
      <bottom style="thin">
        <color rgb="FFD7E0E5"/>
      </bottom>
      <diagonal/>
    </border>
    <border>
      <left style="thin">
        <color rgb="FFD7E0E5"/>
      </left>
      <right style="thin">
        <color rgb="FFD7E0E5"/>
      </right>
      <top style="thin">
        <color rgb="FFD7E0E5"/>
      </top>
      <bottom/>
      <diagonal/>
    </border>
    <border>
      <left/>
      <right/>
      <top style="thin">
        <color rgb="FFD7E0E5"/>
      </top>
      <bottom style="thin">
        <color rgb="FFD7E0E5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3" borderId="0" xfId="0" applyFont="1" applyFill="1" applyAlignment="1">
      <alignment horizontal="center" wrapText="1"/>
    </xf>
    <xf numFmtId="0" fontId="7" fillId="2" borderId="0" xfId="0" applyFont="1" applyFill="1"/>
    <xf numFmtId="166" fontId="0" fillId="0" borderId="0" xfId="0" applyNumberFormat="1"/>
    <xf numFmtId="164" fontId="0" fillId="0" borderId="0" xfId="0" applyNumberFormat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3" xfId="0" applyBorder="1"/>
    <xf numFmtId="0" fontId="0" fillId="0" borderId="13" xfId="0" applyBorder="1"/>
    <xf numFmtId="0" fontId="0" fillId="0" borderId="1" xfId="0" applyBorder="1"/>
    <xf numFmtId="0" fontId="7" fillId="2" borderId="8" xfId="0" applyFont="1" applyFill="1" applyBorder="1"/>
    <xf numFmtId="0" fontId="7" fillId="2" borderId="9" xfId="0" applyFont="1" applyFill="1" applyBorder="1"/>
    <xf numFmtId="0" fontId="7" fillId="2" borderId="6" xfId="0" applyFont="1" applyFill="1" applyBorder="1"/>
    <xf numFmtId="167" fontId="0" fillId="0" borderId="11" xfId="0" applyNumberFormat="1" applyBorder="1"/>
    <xf numFmtId="4" fontId="0" fillId="0" borderId="6" xfId="0" applyNumberFormat="1" applyBorder="1"/>
    <xf numFmtId="4" fontId="0" fillId="0" borderId="12" xfId="0" applyNumberFormat="1" applyBorder="1"/>
    <xf numFmtId="4" fontId="0" fillId="0" borderId="1" xfId="0" applyNumberFormat="1" applyBorder="1"/>
    <xf numFmtId="0" fontId="8" fillId="0" borderId="0" xfId="0" applyFont="1"/>
    <xf numFmtId="0" fontId="9" fillId="2" borderId="0" xfId="0" applyFont="1" applyFill="1" applyAlignment="1">
      <alignment vertical="center" wrapText="1"/>
    </xf>
    <xf numFmtId="167" fontId="8" fillId="0" borderId="0" xfId="0" applyNumberFormat="1" applyFont="1"/>
    <xf numFmtId="2" fontId="8" fillId="0" borderId="0" xfId="0" applyNumberFormat="1" applyFont="1"/>
    <xf numFmtId="0" fontId="7" fillId="2" borderId="8" xfId="0" applyFont="1" applyFill="1" applyBorder="1" applyAlignment="1">
      <alignment wrapText="1"/>
    </xf>
    <xf numFmtId="0" fontId="7" fillId="2" borderId="9" xfId="0" applyFont="1" applyFill="1" applyBorder="1" applyAlignment="1">
      <alignment wrapText="1"/>
    </xf>
    <xf numFmtId="0" fontId="7" fillId="2" borderId="6" xfId="0" applyFont="1" applyFill="1" applyBorder="1" applyAlignment="1">
      <alignment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" xfId="0" applyBorder="1" applyAlignment="1">
      <alignment wrapText="1"/>
    </xf>
    <xf numFmtId="0" fontId="7" fillId="5" borderId="8" xfId="0" applyFont="1" applyFill="1" applyBorder="1" applyAlignment="1">
      <alignment wrapText="1"/>
    </xf>
    <xf numFmtId="0" fontId="7" fillId="5" borderId="6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0" fillId="0" borderId="0" xfId="0"/>
    <xf numFmtId="164" fontId="4" fillId="4" borderId="14" xfId="0" applyNumberFormat="1" applyFont="1" applyFill="1" applyBorder="1" applyAlignment="1">
      <alignment horizontal="center" vertical="center"/>
    </xf>
    <xf numFmtId="0" fontId="0" fillId="0" borderId="2" xfId="0" applyBorder="1"/>
    <xf numFmtId="0" fontId="0" fillId="0" borderId="7" xfId="0" applyBorder="1"/>
    <xf numFmtId="0" fontId="6" fillId="6" borderId="11" xfId="0" applyFont="1" applyFill="1" applyBorder="1" applyAlignment="1">
      <alignment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164" fontId="4" fillId="4" borderId="10" xfId="0" applyNumberFormat="1" applyFont="1" applyFill="1" applyBorder="1" applyAlignment="1">
      <alignment horizontal="center" vertical="center"/>
    </xf>
    <xf numFmtId="0" fontId="5" fillId="5" borderId="0" xfId="0" applyFont="1" applyFill="1"/>
    <xf numFmtId="3" fontId="4" fillId="4" borderId="12" xfId="0" applyNumberFormat="1" applyFont="1" applyFill="1" applyBorder="1" applyAlignment="1">
      <alignment horizontal="center" vertical="center"/>
    </xf>
    <xf numFmtId="165" fontId="4" fillId="4" borderId="14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7" fillId="5" borderId="0" xfId="0" applyFont="1" applyFill="1"/>
    <xf numFmtId="0" fontId="10" fillId="2" borderId="0" xfId="0" applyFont="1" applyFill="1"/>
  </cellXfs>
  <cellStyles count="1">
    <cellStyle name="Normal" xfId="0" builtinId="0"/>
  </cellStyles>
  <dxfs count="2">
    <dxf>
      <font>
        <b/>
        <color rgb="FFC13B32"/>
      </font>
      <fill>
        <patternFill>
          <bgColor rgb="FFFBE3DF"/>
        </patternFill>
      </fill>
    </dxf>
    <dxf>
      <font>
        <b/>
        <color rgb="FF2E7D5B"/>
      </font>
      <fill>
        <patternFill>
          <bgColor rgb="FFDDEFE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IN"/>
              <a:t>Profit Exposure by Value Tier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profit_at_risk</c:v>
          </c:tx>
          <c:spPr>
            <a:ln>
              <a:prstDash val="solid"/>
            </a:ln>
          </c:spPr>
          <c:invertIfNegative val="1"/>
          <c:cat>
            <c:strRef>
              <c:f>'Executive Summary'!$A$16:$A$19</c:f>
              <c:strCache>
                <c:ptCount val="3"/>
                <c:pt idx="0">
                  <c:v>Upper-middle profit</c:v>
                </c:pt>
                <c:pt idx="1">
                  <c:v>Lower-middle profit</c:v>
                </c:pt>
                <c:pt idx="2">
                  <c:v>Lowest profit</c:v>
                </c:pt>
              </c:strCache>
            </c:strRef>
          </c:cat>
          <c:val>
            <c:numRef>
              <c:f>'Executive Summary'!$B$16:$B$19</c:f>
              <c:numCache>
                <c:formatCode>\$#,##0</c:formatCode>
                <c:ptCount val="4"/>
                <c:pt idx="0">
                  <c:v>1069576.8600000001</c:v>
                </c:pt>
                <c:pt idx="1">
                  <c:v>363901.77</c:v>
                </c:pt>
                <c:pt idx="2">
                  <c:v>5401.44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64-4C45-A29A-4F3EDD3C64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gap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IN"/>
              <a:t>SLA Breach Rate by Shipping Mode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breach_rate_pct</c:v>
          </c:tx>
          <c:spPr>
            <a:ln>
              <a:prstDash val="solid"/>
            </a:ln>
          </c:spPr>
          <c:invertIfNegative val="1"/>
          <c:cat>
            <c:strRef>
              <c:f>'Executive Summary'!$D$16:$D$19</c:f>
              <c:strCache>
                <c:ptCount val="3"/>
                <c:pt idx="0">
                  <c:v>Second Class</c:v>
                </c:pt>
                <c:pt idx="1">
                  <c:v>Same Day</c:v>
                </c:pt>
                <c:pt idx="2">
                  <c:v>Standard Class</c:v>
                </c:pt>
              </c:strCache>
            </c:strRef>
          </c:cat>
          <c:val>
            <c:numRef>
              <c:f>'Executive Summary'!$E$16:$E$19</c:f>
              <c:numCache>
                <c:formatCode>0.0%</c:formatCode>
                <c:ptCount val="4"/>
                <c:pt idx="0">
                  <c:v>0.79930000000000012</c:v>
                </c:pt>
                <c:pt idx="1">
                  <c:v>0.48359999999999997</c:v>
                </c:pt>
                <c:pt idx="2">
                  <c:v>0.3987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34-4787-9D22-0BCFDE42D7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  <c:max val="1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gap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0</xdr:rowOff>
    </xdr:from>
    <xdr:to>
      <xdr:col>4</xdr:col>
      <xdr:colOff>0</xdr:colOff>
      <xdr:row>36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20</xdr:row>
      <xdr:rowOff>0</xdr:rowOff>
    </xdr:from>
    <xdr:to>
      <xdr:col>8</xdr:col>
      <xdr:colOff>0</xdr:colOff>
      <xdr:row>36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KpiDataTable" displayName="KpiDataTable" ref="A1:G2">
  <autoFilter ref="A1:G2" xr:uid="{00000000-0009-0000-0100-000001000000}"/>
  <tableColumns count="7">
    <tableColumn id="1" xr3:uid="{00000000-0010-0000-0000-000001000000}" name="total_orders"/>
    <tableColumn id="2" xr3:uid="{00000000-0010-0000-0000-000002000000}" name="breached_orders"/>
    <tableColumn id="3" xr3:uid="{00000000-0010-0000-0000-000003000000}" name="breach_rate_pct"/>
    <tableColumn id="4" xr3:uid="{00000000-0010-0000-0000-000004000000}" name="total_profit"/>
    <tableColumn id="5" xr3:uid="{00000000-0010-0000-0000-000005000000}" name="total_profit_at_risk"/>
    <tableColumn id="6" xr3:uid="{00000000-0010-0000-0000-000006000000}" name="high_value_profit_at_risk"/>
    <tableColumn id="7" xr3:uid="{00000000-0010-0000-0000-000007000000}" name="top_5_unstable_lane_breach_share_pc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fitPriorityTable" displayName="ProfitPriorityTable" ref="A1:H5">
  <autoFilter ref="A1:H5" xr:uid="{00000000-0009-0000-0100-000002000000}"/>
  <tableColumns count="8">
    <tableColumn id="1" xr3:uid="{00000000-0010-0000-0100-000001000000}" name="profit_quartile"/>
    <tableColumn id="2" xr3:uid="{00000000-0010-0000-0100-000002000000}" name="profit_tier"/>
    <tableColumn id="3" xr3:uid="{00000000-0010-0000-0100-000003000000}" name="order_count"/>
    <tableColumn id="4" xr3:uid="{00000000-0010-0000-0100-000004000000}" name="breach_count"/>
    <tableColumn id="5" xr3:uid="{00000000-0010-0000-0100-000005000000}" name="breach_rate_pct"/>
    <tableColumn id="6" xr3:uid="{00000000-0010-0000-0100-000006000000}" name="avg_delay_days"/>
    <tableColumn id="7" xr3:uid="{00000000-0010-0000-0100-000007000000}" name="total_profit"/>
    <tableColumn id="8" xr3:uid="{00000000-0010-0000-0100-000008000000}" name="profit_at_ris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hippingModesTable" displayName="ShippingModesTable" ref="A1:J5">
  <autoFilter ref="A1:J5" xr:uid="{00000000-0009-0000-0100-000003000000}"/>
  <tableColumns count="10">
    <tableColumn id="1" xr3:uid="{00000000-0010-0000-0200-000001000000}" name="shipping_mode"/>
    <tableColumn id="2" xr3:uid="{00000000-0010-0000-0200-000002000000}" name="order_count"/>
    <tableColumn id="3" xr3:uid="{00000000-0010-0000-0200-000003000000}" name="breach_count"/>
    <tableColumn id="4" xr3:uid="{00000000-0010-0000-0200-000004000000}" name="breach_rate_pct"/>
    <tableColumn id="5" xr3:uid="{00000000-0010-0000-0200-000005000000}" name="avg_scheduled_days"/>
    <tableColumn id="6" xr3:uid="{00000000-0010-0000-0200-000006000000}" name="avg_actual_days"/>
    <tableColumn id="7" xr3:uid="{00000000-0010-0000-0200-000007000000}" name="avg_delay_days"/>
    <tableColumn id="8" xr3:uid="{00000000-0010-0000-0200-000008000000}" name="profit_at_risk"/>
    <tableColumn id="9" xr3:uid="{00000000-0010-0000-0200-000009000000}" name="performance_band"/>
    <tableColumn id="10" xr3:uid="{00000000-0010-0000-0200-00000A000000}" name="interpretation_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OperationalLanesTable" displayName="OperationalLanesTable" ref="A1:L20">
  <autoFilter ref="A1:L20" xr:uid="{00000000-0009-0000-0100-000004000000}"/>
  <tableColumns count="12">
    <tableColumn id="1" xr3:uid="{00000000-0010-0000-0300-000001000000}" name="market"/>
    <tableColumn id="2" xr3:uid="{00000000-0010-0000-0300-000002000000}" name="shipping_mode"/>
    <tableColumn id="3" xr3:uid="{00000000-0010-0000-0300-000003000000}" name="order_count"/>
    <tableColumn id="4" xr3:uid="{00000000-0010-0000-0300-000004000000}" name="breach_count"/>
    <tableColumn id="5" xr3:uid="{00000000-0010-0000-0300-000005000000}" name="breach_rate_pct"/>
    <tableColumn id="6" xr3:uid="{00000000-0010-0000-0300-000006000000}" name="breach_share_pct"/>
    <tableColumn id="7" xr3:uid="{00000000-0010-0000-0300-000007000000}" name="avg_delay_days"/>
    <tableColumn id="8" xr3:uid="{00000000-0010-0000-0300-000008000000}" name="delay_sd"/>
    <tableColumn id="9" xr3:uid="{00000000-0010-0000-0300-000009000000}" name="profit_at_risk"/>
    <tableColumn id="10" xr3:uid="{00000000-0010-0000-0300-00000A000000}" name="profit_risk_rank"/>
    <tableColumn id="11" xr3:uid="{00000000-0010-0000-0300-00000B000000}" name="variability_priority_rank"/>
    <tableColumn id="12" xr3:uid="{00000000-0010-0000-0300-00000C000000}" name="action_categor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MarketAnalysisTable" displayName="MarketAnalysisTable" ref="A1:J6">
  <autoFilter ref="A1:J6" xr:uid="{00000000-0009-0000-0100-000005000000}"/>
  <tableColumns count="10">
    <tableColumn id="1" xr3:uid="{00000000-0010-0000-0400-000001000000}" name="market"/>
    <tableColumn id="2" xr3:uid="{00000000-0010-0000-0400-000002000000}" name="order_count"/>
    <tableColumn id="3" xr3:uid="{00000000-0010-0000-0400-000003000000}" name="revenue"/>
    <tableColumn id="4" xr3:uid="{00000000-0010-0000-0400-000004000000}" name="profit"/>
    <tableColumn id="5" xr3:uid="{00000000-0010-0000-0400-000005000000}" name="margin_pct"/>
    <tableColumn id="6" xr3:uid="{00000000-0010-0000-0400-000006000000}" name="breach_rate_pct"/>
    <tableColumn id="7" xr3:uid="{00000000-0010-0000-0400-000007000000}" name="volume_share_pct"/>
    <tableColumn id="8" xr3:uid="{00000000-0010-0000-0400-000008000000}" name="profit_share_pct"/>
    <tableColumn id="9" xr3:uid="{00000000-0010-0000-0400-000009000000}" name="efficiency_gap_pct"/>
    <tableColumn id="10" xr3:uid="{00000000-0010-0000-0400-00000A000000}" name="profit_at_risk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ustomerSegmentsTable" displayName="CustomerSegmentsTable" ref="A1:I4">
  <autoFilter ref="A1:I4" xr:uid="{00000000-0009-0000-0100-000006000000}"/>
  <tableColumns count="9">
    <tableColumn id="1" xr3:uid="{00000000-0010-0000-0500-000001000000}" name="customer_segment"/>
    <tableColumn id="2" xr3:uid="{00000000-0010-0000-0500-000002000000}" name="order_count"/>
    <tableColumn id="3" xr3:uid="{00000000-0010-0000-0500-000003000000}" name="breach_count"/>
    <tableColumn id="4" xr3:uid="{00000000-0010-0000-0500-000004000000}" name="breach_rate_pct"/>
    <tableColumn id="5" xr3:uid="{00000000-0010-0000-0500-000005000000}" name="revenue"/>
    <tableColumn id="6" xr3:uid="{00000000-0010-0000-0500-000006000000}" name="profit"/>
    <tableColumn id="7" xr3:uid="{00000000-0010-0000-0500-000007000000}" name="profit_at_risk"/>
    <tableColumn id="8" xr3:uid="{00000000-0010-0000-0500-000008000000}" name="volume_share_pct"/>
    <tableColumn id="9" xr3:uid="{00000000-0010-0000-0500-000009000000}" name="profit_share_pc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OpportunityScenariosTable" displayName="OpportunityScenariosTable" ref="A1:F4">
  <autoFilter ref="A1:F4" xr:uid="{00000000-0009-0000-0100-000007000000}"/>
  <tableColumns count="6">
    <tableColumn id="1" xr3:uid="{00000000-0010-0000-0600-000001000000}" name="scenario"/>
    <tableColumn id="2" xr3:uid="{00000000-0010-0000-0600-000002000000}" name="orders_in_scope"/>
    <tableColumn id="3" xr3:uid="{00000000-0010-0000-0600-000003000000}" name="breaches_or_avoidable_breaches"/>
    <tableColumn id="4" xr3:uid="{00000000-0010-0000-0600-000004000000}" name="profit_exposure"/>
    <tableColumn id="5" xr3:uid="{00000000-0010-0000-0600-000005000000}" name="supporting_metric"/>
    <tableColumn id="6" xr3:uid="{00000000-0010-0000-0600-000006000000}" name="cavea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MonthlyTrendsTable" displayName="MonthlyTrendsTable" ref="A1:G38">
  <autoFilter ref="A1:G38" xr:uid="{00000000-0009-0000-0100-000008000000}"/>
  <tableColumns count="7">
    <tableColumn id="1" xr3:uid="{00000000-0010-0000-0700-000001000000}" name="order_month"/>
    <tableColumn id="2" xr3:uid="{00000000-0010-0000-0700-000002000000}" name="order_count"/>
    <tableColumn id="3" xr3:uid="{00000000-0010-0000-0700-000003000000}" name="breach_count"/>
    <tableColumn id="4" xr3:uid="{00000000-0010-0000-0700-000004000000}" name="breach_rate_pct"/>
    <tableColumn id="5" xr3:uid="{00000000-0010-0000-0700-000005000000}" name="profit_at_risk"/>
    <tableColumn id="6" xr3:uid="{00000000-0010-0000-0700-000006000000}" name="breach_rate_mom_change"/>
    <tableColumn id="7" xr3:uid="{00000000-0010-0000-0700-000007000000}" name="par_mom_chang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SlaPromiseGapTable" displayName="SlaPromiseGapTable" ref="A1:L5">
  <autoFilter ref="A1:L5" xr:uid="{00000000-0009-0000-0100-000009000000}"/>
  <tableColumns count="12">
    <tableColumn id="1" xr3:uid="{00000000-0010-0000-0800-000001000000}" name="shipping_mode"/>
    <tableColumn id="2" xr3:uid="{00000000-0010-0000-0800-000002000000}" name="order_count"/>
    <tableColumn id="3" xr3:uid="{00000000-0010-0000-0800-000003000000}" name="breach_count"/>
    <tableColumn id="4" xr3:uid="{00000000-0010-0000-0800-000004000000}" name="breach_rate_pct"/>
    <tableColumn id="5" xr3:uid="{00000000-0010-0000-0800-000005000000}" name="avg_scheduled_days"/>
    <tableColumn id="6" xr3:uid="{00000000-0010-0000-0800-000006000000}" name="avg_actual_days"/>
    <tableColumn id="7" xr3:uid="{00000000-0010-0000-0800-000007000000}" name="p50_actual_days"/>
    <tableColumn id="8" xr3:uid="{00000000-0010-0000-0800-000008000000}" name="p90_actual_days"/>
    <tableColumn id="9" xr3:uid="{00000000-0010-0000-0800-000009000000}" name="avg_promise_gap"/>
    <tableColumn id="10" xr3:uid="{00000000-0010-0000-0800-00000A000000}" name="realigned_sla_days"/>
    <tableColumn id="11" xr3:uid="{00000000-0010-0000-0800-00000B000000}" name="profit_at_risk"/>
    <tableColumn id="12" xr3:uid="{00000000-0010-0000-0800-00000C000000}" name="root_cau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showGridLines="0" tabSelected="1" workbookViewId="0">
      <selection activeCell="H5" sqref="H5"/>
    </sheetView>
  </sheetViews>
  <sheetFormatPr defaultRowHeight="14.25"/>
  <cols>
    <col min="1" max="8" width="16" customWidth="1"/>
  </cols>
  <sheetData>
    <row r="1" spans="1:8" ht="20.100000000000001" customHeight="1">
      <c r="A1" s="49" t="s">
        <v>0</v>
      </c>
      <c r="B1" s="35"/>
      <c r="C1" s="35"/>
      <c r="D1" s="35"/>
      <c r="E1" s="35"/>
      <c r="F1" s="35"/>
      <c r="G1" s="35"/>
      <c r="H1" s="35"/>
    </row>
    <row r="2" spans="1:8" ht="20.100000000000001" customHeight="1">
      <c r="A2" s="35"/>
      <c r="B2" s="35"/>
      <c r="C2" s="35"/>
      <c r="D2" s="35"/>
      <c r="E2" s="35"/>
      <c r="F2" s="35"/>
      <c r="G2" s="35"/>
      <c r="H2" s="35"/>
    </row>
    <row r="3" spans="1:8" ht="20.100000000000001" customHeight="1">
      <c r="A3" s="34" t="s">
        <v>1</v>
      </c>
      <c r="B3" s="35"/>
      <c r="C3" s="35"/>
      <c r="D3" s="35"/>
      <c r="E3" s="35"/>
      <c r="F3" s="35"/>
      <c r="G3" s="35"/>
      <c r="H3" s="35"/>
    </row>
    <row r="4" spans="1:8" ht="20.100000000000001" customHeight="1"/>
    <row r="5" spans="1:8" ht="20.100000000000001" customHeight="1">
      <c r="A5" s="1" t="s">
        <v>2</v>
      </c>
      <c r="B5" s="1"/>
      <c r="C5" s="1" t="s">
        <v>3</v>
      </c>
      <c r="D5" s="1"/>
      <c r="E5" s="1" t="s">
        <v>4</v>
      </c>
      <c r="F5" s="1"/>
      <c r="G5" s="1" t="s">
        <v>5</v>
      </c>
      <c r="H5" s="1"/>
    </row>
    <row r="6" spans="1:8" ht="20.100000000000001" customHeight="1">
      <c r="A6" s="47">
        <f>'KPI Data'!A2</f>
        <v>65752</v>
      </c>
      <c r="B6" s="37"/>
      <c r="C6" s="36">
        <f>'KPI Data'!C2/100</f>
        <v>0.57330000000000003</v>
      </c>
      <c r="D6" s="37"/>
      <c r="E6" s="48">
        <f>'KPI Data'!F2</f>
        <v>2314448.35</v>
      </c>
      <c r="F6" s="37"/>
      <c r="G6" s="45">
        <f>'KPI Data'!G2/100</f>
        <v>0.41210000000000002</v>
      </c>
      <c r="H6" s="40"/>
    </row>
    <row r="7" spans="1:8" ht="20.100000000000001" customHeight="1">
      <c r="A7" s="41"/>
      <c r="B7" s="35"/>
      <c r="C7" s="35"/>
      <c r="D7" s="35"/>
      <c r="E7" s="35"/>
      <c r="F7" s="35"/>
      <c r="G7" s="35"/>
      <c r="H7" s="42"/>
    </row>
    <row r="8" spans="1:8" ht="20.100000000000001" customHeight="1">
      <c r="A8" s="43"/>
      <c r="B8" s="38"/>
      <c r="C8" s="38"/>
      <c r="D8" s="38"/>
      <c r="E8" s="38"/>
      <c r="F8" s="38"/>
      <c r="G8" s="38"/>
      <c r="H8" s="44"/>
    </row>
    <row r="9" spans="1:8" ht="20.100000000000001" customHeight="1"/>
    <row r="10" spans="1:8" ht="20.100000000000001" customHeight="1">
      <c r="A10" s="46" t="s">
        <v>6</v>
      </c>
      <c r="B10" s="35"/>
      <c r="C10" s="35"/>
      <c r="D10" s="35"/>
      <c r="E10" s="35"/>
      <c r="F10" s="35"/>
      <c r="G10" s="35"/>
      <c r="H10" s="35"/>
    </row>
    <row r="11" spans="1:8" ht="20.100000000000001" customHeight="1">
      <c r="A11" s="39" t="s">
        <v>7</v>
      </c>
      <c r="B11" s="37"/>
      <c r="C11" s="37"/>
      <c r="D11" s="37"/>
      <c r="E11" s="37"/>
      <c r="F11" s="37"/>
      <c r="G11" s="37"/>
      <c r="H11" s="40"/>
    </row>
    <row r="12" spans="1:8" ht="20.100000000000001" customHeight="1">
      <c r="A12" s="41"/>
      <c r="B12" s="35"/>
      <c r="C12" s="35"/>
      <c r="D12" s="35"/>
      <c r="E12" s="35"/>
      <c r="F12" s="35"/>
      <c r="G12" s="35"/>
      <c r="H12" s="42"/>
    </row>
    <row r="13" spans="1:8" ht="20.100000000000001" customHeight="1">
      <c r="A13" s="43"/>
      <c r="B13" s="38"/>
      <c r="C13" s="38"/>
      <c r="D13" s="38"/>
      <c r="E13" s="38"/>
      <c r="F13" s="38"/>
      <c r="G13" s="38"/>
      <c r="H13" s="44"/>
    </row>
    <row r="14" spans="1:8" ht="20.100000000000001" customHeight="1"/>
    <row r="15" spans="1:8" ht="20.100000000000001" customHeight="1">
      <c r="A15" s="2" t="str">
        <f>'Profit Priority'!B2</f>
        <v>Highest profit</v>
      </c>
      <c r="B15" s="2">
        <f>'Profit Priority'!H2</f>
        <v>2314448.35</v>
      </c>
      <c r="D15" s="2" t="str">
        <f>'Shipping Modes'!A2</f>
        <v>First Class</v>
      </c>
      <c r="E15" s="2">
        <f>'Shipping Modes'!D2/100</f>
        <v>1</v>
      </c>
    </row>
    <row r="16" spans="1:8" ht="20.100000000000001" customHeight="1">
      <c r="A16" t="str">
        <f>'Profit Priority'!B3</f>
        <v>Upper-middle profit</v>
      </c>
      <c r="B16" s="3">
        <f>'Profit Priority'!H3</f>
        <v>1069576.8600000001</v>
      </c>
      <c r="D16" t="str">
        <f>'Shipping Modes'!A3</f>
        <v>Second Class</v>
      </c>
      <c r="E16" s="4">
        <f>'Shipping Modes'!D3/100</f>
        <v>0.79930000000000012</v>
      </c>
    </row>
    <row r="17" spans="1:5" ht="20.100000000000001" customHeight="1">
      <c r="A17" t="str">
        <f>'Profit Priority'!B4</f>
        <v>Lower-middle profit</v>
      </c>
      <c r="B17" s="3">
        <f>'Profit Priority'!H4</f>
        <v>363901.77</v>
      </c>
      <c r="D17" t="str">
        <f>'Shipping Modes'!A4</f>
        <v>Same Day</v>
      </c>
      <c r="E17" s="4">
        <f>'Shipping Modes'!D4/100</f>
        <v>0.48359999999999997</v>
      </c>
    </row>
    <row r="18" spans="1:5" ht="20.100000000000001" customHeight="1">
      <c r="A18" t="str">
        <f>'Profit Priority'!B5</f>
        <v>Lowest profit</v>
      </c>
      <c r="B18" s="3">
        <f>'Profit Priority'!H5</f>
        <v>5401.44</v>
      </c>
      <c r="D18" t="str">
        <f>'Shipping Modes'!A5</f>
        <v>Standard Class</v>
      </c>
      <c r="E18" s="4">
        <f>'Shipping Modes'!D5/100</f>
        <v>0.3987</v>
      </c>
    </row>
    <row r="19" spans="1:5" ht="20.100000000000001" customHeight="1">
      <c r="B19" s="3"/>
      <c r="E19" s="4"/>
    </row>
    <row r="20" spans="1:5" ht="20.100000000000001" customHeight="1"/>
    <row r="21" spans="1:5" ht="20.100000000000001" customHeight="1"/>
    <row r="22" spans="1:5" ht="20.100000000000001" customHeight="1"/>
    <row r="23" spans="1:5" ht="20.100000000000001" customHeight="1"/>
    <row r="24" spans="1:5" ht="20.100000000000001" customHeight="1"/>
    <row r="25" spans="1:5" ht="20.100000000000001" customHeight="1"/>
    <row r="26" spans="1:5" ht="20.100000000000001" customHeight="1"/>
    <row r="27" spans="1:5" ht="20.100000000000001" customHeight="1"/>
    <row r="28" spans="1:5" ht="20.100000000000001" customHeight="1"/>
    <row r="29" spans="1:5" ht="20.100000000000001" customHeight="1"/>
    <row r="30" spans="1:5" ht="20.100000000000001" customHeight="1"/>
    <row r="31" spans="1:5" ht="20.100000000000001" customHeight="1"/>
    <row r="32" spans="1:5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</sheetData>
  <mergeCells count="8">
    <mergeCell ref="A1:H2"/>
    <mergeCell ref="A3:H3"/>
    <mergeCell ref="C6:D8"/>
    <mergeCell ref="A11:H13"/>
    <mergeCell ref="G6:H8"/>
    <mergeCell ref="A10:H10"/>
    <mergeCell ref="A6:B8"/>
    <mergeCell ref="E6:F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"/>
  <sheetViews>
    <sheetView showGridLines="0" workbookViewId="0">
      <selection sqref="A1:F2"/>
    </sheetView>
  </sheetViews>
  <sheetFormatPr defaultRowHeight="14.25"/>
  <cols>
    <col min="1" max="1" width="42" customWidth="1"/>
    <col min="2" max="6" width="22" customWidth="1"/>
  </cols>
  <sheetData>
    <row r="1" spans="1:8" ht="33.950000000000003" customHeight="1">
      <c r="A1" s="49" t="s">
        <v>8</v>
      </c>
      <c r="B1" s="35"/>
      <c r="C1" s="35"/>
      <c r="D1" s="35"/>
      <c r="E1" s="35"/>
      <c r="F1" s="35"/>
    </row>
    <row r="2" spans="1:8" ht="33.950000000000003" customHeight="1">
      <c r="A2" s="35"/>
      <c r="B2" s="35"/>
      <c r="C2" s="35"/>
      <c r="D2" s="35"/>
      <c r="E2" s="35"/>
      <c r="F2" s="35"/>
    </row>
    <row r="3" spans="1:8" ht="30" customHeight="1">
      <c r="A3" s="34" t="s">
        <v>9</v>
      </c>
      <c r="B3" s="35"/>
      <c r="C3" s="35"/>
      <c r="D3" s="35"/>
      <c r="E3" s="35"/>
      <c r="F3" s="35"/>
      <c r="G3" s="35"/>
      <c r="H3" s="35"/>
    </row>
    <row r="5" spans="1:8" ht="15">
      <c r="A5" s="12" t="s">
        <v>10</v>
      </c>
      <c r="B5" s="13" t="s">
        <v>11</v>
      </c>
      <c r="C5" s="13" t="s">
        <v>12</v>
      </c>
      <c r="D5" s="14" t="s">
        <v>13</v>
      </c>
    </row>
    <row r="6" spans="1:8">
      <c r="A6" s="6" t="s">
        <v>14</v>
      </c>
      <c r="B6" s="7">
        <f>SUM('Customer Segments'!B2:B4)</f>
        <v>65752</v>
      </c>
      <c r="C6" s="7">
        <f>'KPI Data'!A2</f>
        <v>65752</v>
      </c>
      <c r="D6" s="8" t="str">
        <f t="shared" ref="D6:D12" si="0">IF(ABS(B6-C6)&lt;0.01,"PASS","REVIEW")</f>
        <v>PASS</v>
      </c>
    </row>
    <row r="7" spans="1:8">
      <c r="A7" s="6" t="s">
        <v>15</v>
      </c>
      <c r="B7" s="7">
        <f>SUM('Profit Priority'!C2:C5)</f>
        <v>65752</v>
      </c>
      <c r="C7" s="7">
        <f>'KPI Data'!A2</f>
        <v>65752</v>
      </c>
      <c r="D7" s="8" t="str">
        <f t="shared" si="0"/>
        <v>PASS</v>
      </c>
    </row>
    <row r="8" spans="1:8">
      <c r="A8" s="6" t="s">
        <v>16</v>
      </c>
      <c r="B8" s="15">
        <f>SUM('Market Analysis'!D2:D6)</f>
        <v>3966902.9700000007</v>
      </c>
      <c r="C8" s="15">
        <f>'KPI Data'!D2</f>
        <v>3966902.97</v>
      </c>
      <c r="D8" s="8" t="str">
        <f t="shared" si="0"/>
        <v>PASS</v>
      </c>
    </row>
    <row r="9" spans="1:8">
      <c r="A9" s="6" t="s">
        <v>17</v>
      </c>
      <c r="B9" s="15">
        <f>SUM('Customer Segments'!F2:F4)</f>
        <v>3966902.9699999997</v>
      </c>
      <c r="C9" s="15">
        <f>'KPI Data'!D2</f>
        <v>3966902.97</v>
      </c>
      <c r="D9" s="8" t="str">
        <f t="shared" si="0"/>
        <v>PASS</v>
      </c>
    </row>
    <row r="10" spans="1:8">
      <c r="A10" s="6" t="s">
        <v>18</v>
      </c>
      <c r="B10" s="15">
        <f>SUM('Profit Priority'!H2:H5)</f>
        <v>3753328.42</v>
      </c>
      <c r="C10" s="15">
        <f>'KPI Data'!E2</f>
        <v>3753328.42</v>
      </c>
      <c r="D10" s="8" t="str">
        <f t="shared" si="0"/>
        <v>PASS</v>
      </c>
    </row>
    <row r="11" spans="1:8">
      <c r="A11" s="6" t="s">
        <v>19</v>
      </c>
      <c r="B11" s="7">
        <f>COUNTIF('Operational Lanes'!I2:I20,"&lt;0")</f>
        <v>0</v>
      </c>
      <c r="C11" s="7">
        <f>0</f>
        <v>0</v>
      </c>
      <c r="D11" s="8" t="str">
        <f t="shared" si="0"/>
        <v>PASS</v>
      </c>
    </row>
    <row r="12" spans="1:8">
      <c r="A12" s="9" t="s">
        <v>20</v>
      </c>
      <c r="B12" s="10">
        <f>COUNTIF('Opportunity Scenarios'!F2:F4,"&lt;&gt;")</f>
        <v>3</v>
      </c>
      <c r="C12" s="10">
        <f>3</f>
        <v>3</v>
      </c>
      <c r="D12" s="11" t="str">
        <f t="shared" si="0"/>
        <v>PASS</v>
      </c>
    </row>
    <row r="14" spans="1:8" ht="15">
      <c r="A14" s="50" t="s">
        <v>21</v>
      </c>
      <c r="B14" s="35"/>
      <c r="C14" s="35"/>
      <c r="D14" s="35"/>
      <c r="E14" s="35"/>
      <c r="F14" s="35"/>
    </row>
    <row r="15" spans="1:8">
      <c r="A15" s="5" t="s">
        <v>22</v>
      </c>
      <c r="B15" s="16">
        <v>180519</v>
      </c>
    </row>
    <row r="16" spans="1:8">
      <c r="A16" s="6" t="s">
        <v>23</v>
      </c>
      <c r="B16" s="17">
        <v>65752</v>
      </c>
    </row>
    <row r="17" spans="1:2">
      <c r="A17" s="6" t="s">
        <v>24</v>
      </c>
      <c r="B17" s="17">
        <v>2.75</v>
      </c>
    </row>
    <row r="18" spans="1:2">
      <c r="A18" s="6" t="s">
        <v>25</v>
      </c>
      <c r="B18" s="17">
        <v>0</v>
      </c>
    </row>
    <row r="19" spans="1:2">
      <c r="A19" s="6" t="s">
        <v>26</v>
      </c>
      <c r="B19" s="17">
        <v>45742</v>
      </c>
    </row>
    <row r="20" spans="1:2">
      <c r="A20" s="9" t="s">
        <v>27</v>
      </c>
      <c r="B20" s="18">
        <v>0</v>
      </c>
    </row>
  </sheetData>
  <mergeCells count="3">
    <mergeCell ref="A14:F14"/>
    <mergeCell ref="A3:H3"/>
    <mergeCell ref="A1:F2"/>
  </mergeCells>
  <conditionalFormatting sqref="D6:D12">
    <cfRule type="containsText" dxfId="1" priority="1" operator="containsText" text="PASS"/>
    <cfRule type="containsText" dxfId="0" priority="2" operator="containsText" text="REVIEW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"/>
  <sheetViews>
    <sheetView showGridLines="0" workbookViewId="0"/>
  </sheetViews>
  <sheetFormatPr defaultRowHeight="14.25"/>
  <cols>
    <col min="1" max="1" width="9.25" customWidth="1"/>
    <col min="2" max="2" width="12.75" customWidth="1"/>
    <col min="3" max="3" width="12.25" customWidth="1"/>
    <col min="4" max="4" width="9" customWidth="1"/>
    <col min="5" max="5" width="14" customWidth="1"/>
    <col min="6" max="6" width="18.375" customWidth="1"/>
    <col min="7" max="7" width="29.25" customWidth="1"/>
  </cols>
  <sheetData>
    <row r="1" spans="1:7" ht="30" customHeight="1">
      <c r="A1" s="20" t="s">
        <v>28</v>
      </c>
      <c r="B1" s="20" t="s">
        <v>29</v>
      </c>
      <c r="C1" s="20" t="s">
        <v>30</v>
      </c>
      <c r="D1" s="20" t="s">
        <v>31</v>
      </c>
      <c r="E1" s="20" t="s">
        <v>32</v>
      </c>
      <c r="F1" s="20" t="s">
        <v>33</v>
      </c>
      <c r="G1" s="20" t="s">
        <v>34</v>
      </c>
    </row>
    <row r="2" spans="1:7" ht="15" customHeight="1">
      <c r="A2" s="19">
        <v>65752</v>
      </c>
      <c r="B2" s="19">
        <v>37698</v>
      </c>
      <c r="C2" s="19">
        <v>57.33</v>
      </c>
      <c r="D2" s="21">
        <v>3966902.97</v>
      </c>
      <c r="E2" s="21">
        <v>3753328.42</v>
      </c>
      <c r="F2" s="21">
        <v>2314448.35</v>
      </c>
      <c r="G2" s="19">
        <v>41.21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showGridLines="0" workbookViewId="0"/>
  </sheetViews>
  <sheetFormatPr defaultRowHeight="14.25"/>
  <cols>
    <col min="1" max="1" width="10.75" customWidth="1"/>
    <col min="2" max="2" width="14.625" customWidth="1"/>
    <col min="3" max="3" width="9.375" customWidth="1"/>
    <col min="4" max="4" width="10.5" customWidth="1"/>
    <col min="5" max="5" width="12.25" customWidth="1"/>
    <col min="6" max="6" width="11.75" customWidth="1"/>
    <col min="7" max="7" width="9.625" customWidth="1"/>
    <col min="8" max="8" width="9.875" customWidth="1"/>
  </cols>
  <sheetData>
    <row r="1" spans="1:8" ht="30" customHeight="1">
      <c r="A1" s="20" t="s">
        <v>35</v>
      </c>
      <c r="B1" s="20" t="s">
        <v>36</v>
      </c>
      <c r="C1" s="20" t="s">
        <v>37</v>
      </c>
      <c r="D1" s="20" t="s">
        <v>38</v>
      </c>
      <c r="E1" s="20" t="s">
        <v>30</v>
      </c>
      <c r="F1" s="20" t="s">
        <v>39</v>
      </c>
      <c r="G1" s="20" t="s">
        <v>31</v>
      </c>
      <c r="H1" s="20" t="s">
        <v>40</v>
      </c>
    </row>
    <row r="2" spans="1:8" ht="15" customHeight="1">
      <c r="A2" s="19">
        <v>1</v>
      </c>
      <c r="B2" s="19" t="s">
        <v>41</v>
      </c>
      <c r="C2" s="19">
        <v>16438</v>
      </c>
      <c r="D2" s="19">
        <v>9339</v>
      </c>
      <c r="E2" s="22">
        <v>56.81</v>
      </c>
      <c r="F2" s="21">
        <v>0.55000000000000004</v>
      </c>
      <c r="G2" s="21">
        <v>4086710.97</v>
      </c>
      <c r="H2" s="21">
        <v>2314448.35</v>
      </c>
    </row>
    <row r="3" spans="1:8" ht="15" customHeight="1">
      <c r="A3" s="19">
        <v>2</v>
      </c>
      <c r="B3" s="19" t="s">
        <v>42</v>
      </c>
      <c r="C3" s="19">
        <v>16438</v>
      </c>
      <c r="D3" s="19">
        <v>9495</v>
      </c>
      <c r="E3" s="22">
        <v>57.76</v>
      </c>
      <c r="F3" s="21">
        <v>0.57999999999999996</v>
      </c>
      <c r="G3" s="21">
        <v>1849628.2</v>
      </c>
      <c r="H3" s="21">
        <v>1069576.8600000001</v>
      </c>
    </row>
    <row r="4" spans="1:8" ht="15" customHeight="1">
      <c r="A4" s="19">
        <v>3</v>
      </c>
      <c r="B4" s="19" t="s">
        <v>43</v>
      </c>
      <c r="C4" s="19">
        <v>16438</v>
      </c>
      <c r="D4" s="19">
        <v>9388</v>
      </c>
      <c r="E4" s="22">
        <v>57.11</v>
      </c>
      <c r="F4" s="21">
        <v>0.55000000000000004</v>
      </c>
      <c r="G4" s="21">
        <v>636187.47</v>
      </c>
      <c r="H4" s="21">
        <v>363901.77</v>
      </c>
    </row>
    <row r="5" spans="1:8" ht="15" customHeight="1">
      <c r="A5" s="19">
        <v>4</v>
      </c>
      <c r="B5" s="19" t="s">
        <v>44</v>
      </c>
      <c r="C5" s="19">
        <v>16438</v>
      </c>
      <c r="D5" s="19">
        <v>9476</v>
      </c>
      <c r="E5" s="22">
        <v>57.65</v>
      </c>
      <c r="F5" s="21">
        <v>0.57999999999999996</v>
      </c>
      <c r="G5" s="21">
        <v>-2605623.67</v>
      </c>
      <c r="H5" s="21">
        <v>5401.44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"/>
  <sheetViews>
    <sheetView showGridLines="0" workbookViewId="0"/>
  </sheetViews>
  <sheetFormatPr defaultRowHeight="14.25"/>
  <cols>
    <col min="1" max="1" width="11.625" customWidth="1"/>
    <col min="2" max="2" width="9.375" customWidth="1"/>
    <col min="3" max="3" width="10.5" customWidth="1"/>
    <col min="4" max="4" width="12.25" customWidth="1"/>
    <col min="5" max="5" width="15.5" customWidth="1"/>
    <col min="6" max="6" width="12.5" customWidth="1"/>
    <col min="7" max="7" width="11.75" customWidth="1"/>
    <col min="8" max="8" width="9.875" customWidth="1"/>
    <col min="9" max="9" width="14.25" customWidth="1"/>
    <col min="10" max="10" width="60.125" customWidth="1"/>
  </cols>
  <sheetData>
    <row r="1" spans="1:10" ht="30" customHeight="1">
      <c r="A1" s="20" t="s">
        <v>45</v>
      </c>
      <c r="B1" s="20" t="s">
        <v>37</v>
      </c>
      <c r="C1" s="20" t="s">
        <v>38</v>
      </c>
      <c r="D1" s="20" t="s">
        <v>30</v>
      </c>
      <c r="E1" s="20" t="s">
        <v>46</v>
      </c>
      <c r="F1" s="20" t="s">
        <v>47</v>
      </c>
      <c r="G1" s="20" t="s">
        <v>39</v>
      </c>
      <c r="H1" s="20" t="s">
        <v>40</v>
      </c>
      <c r="I1" s="20" t="s">
        <v>48</v>
      </c>
      <c r="J1" s="20" t="s">
        <v>49</v>
      </c>
    </row>
    <row r="2" spans="1:10" ht="15" customHeight="1">
      <c r="A2" s="19" t="s">
        <v>50</v>
      </c>
      <c r="B2" s="19">
        <v>10079</v>
      </c>
      <c r="C2" s="19">
        <v>10079</v>
      </c>
      <c r="D2" s="22">
        <v>100</v>
      </c>
      <c r="E2" s="19">
        <v>1</v>
      </c>
      <c r="F2" s="19">
        <v>2</v>
      </c>
      <c r="G2" s="19">
        <v>1</v>
      </c>
      <c r="H2" s="21">
        <v>1026725.52</v>
      </c>
      <c r="I2" s="19" t="s">
        <v>51</v>
      </c>
      <c r="J2" s="19" t="s">
        <v>52</v>
      </c>
    </row>
    <row r="3" spans="1:10" ht="15" customHeight="1">
      <c r="A3" s="19" t="s">
        <v>53</v>
      </c>
      <c r="B3" s="19">
        <v>12778</v>
      </c>
      <c r="C3" s="19">
        <v>10213</v>
      </c>
      <c r="D3" s="22">
        <v>79.930000000000007</v>
      </c>
      <c r="E3" s="19">
        <v>2</v>
      </c>
      <c r="F3" s="19">
        <v>4</v>
      </c>
      <c r="G3" s="19">
        <v>2</v>
      </c>
      <c r="H3" s="21">
        <v>1014589.22</v>
      </c>
      <c r="I3" s="19" t="s">
        <v>51</v>
      </c>
      <c r="J3" s="19" t="s">
        <v>54</v>
      </c>
    </row>
    <row r="4" spans="1:10" ht="15" customHeight="1">
      <c r="A4" s="19" t="s">
        <v>55</v>
      </c>
      <c r="B4" s="19">
        <v>3571</v>
      </c>
      <c r="C4" s="19">
        <v>1727</v>
      </c>
      <c r="D4" s="22">
        <v>48.36</v>
      </c>
      <c r="E4" s="19">
        <v>0</v>
      </c>
      <c r="F4" s="19">
        <v>0.48</v>
      </c>
      <c r="G4" s="19">
        <v>0.48</v>
      </c>
      <c r="H4" s="21">
        <v>157352.69</v>
      </c>
      <c r="I4" s="19" t="s">
        <v>56</v>
      </c>
      <c r="J4" s="19" t="s">
        <v>57</v>
      </c>
    </row>
    <row r="5" spans="1:10" ht="15" customHeight="1">
      <c r="A5" s="19" t="s">
        <v>58</v>
      </c>
      <c r="B5" s="19">
        <v>39324</v>
      </c>
      <c r="C5" s="19">
        <v>15679</v>
      </c>
      <c r="D5" s="22">
        <v>39.869999999999997</v>
      </c>
      <c r="E5" s="19">
        <v>4</v>
      </c>
      <c r="F5" s="19">
        <v>4</v>
      </c>
      <c r="G5" s="19">
        <v>0</v>
      </c>
      <c r="H5" s="21">
        <v>1554660.99</v>
      </c>
      <c r="I5" s="19" t="s">
        <v>56</v>
      </c>
      <c r="J5" s="19" t="s">
        <v>57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0"/>
  <sheetViews>
    <sheetView showGridLines="0" workbookViewId="0"/>
  </sheetViews>
  <sheetFormatPr defaultRowHeight="14.25"/>
  <cols>
    <col min="1" max="1" width="16" customWidth="1"/>
    <col min="2" max="2" width="18" customWidth="1"/>
    <col min="3" max="3" width="9.375" customWidth="1"/>
    <col min="4" max="4" width="10.5" customWidth="1"/>
    <col min="5" max="5" width="12.25" customWidth="1"/>
    <col min="6" max="6" width="13.5" customWidth="1"/>
    <col min="7" max="7" width="11.75" customWidth="1"/>
    <col min="8" max="8" width="7" customWidth="1"/>
    <col min="9" max="9" width="9.875" customWidth="1"/>
    <col min="10" max="10" width="11.625" customWidth="1"/>
    <col min="11" max="11" width="17.25" customWidth="1"/>
    <col min="12" max="12" width="24" customWidth="1"/>
  </cols>
  <sheetData>
    <row r="1" spans="1:12" ht="30" customHeight="1">
      <c r="A1" s="20" t="s">
        <v>59</v>
      </c>
      <c r="B1" s="20" t="s">
        <v>45</v>
      </c>
      <c r="C1" s="20" t="s">
        <v>37</v>
      </c>
      <c r="D1" s="20" t="s">
        <v>38</v>
      </c>
      <c r="E1" s="20" t="s">
        <v>30</v>
      </c>
      <c r="F1" s="20" t="s">
        <v>60</v>
      </c>
      <c r="G1" s="20" t="s">
        <v>39</v>
      </c>
      <c r="H1" s="20" t="s">
        <v>61</v>
      </c>
      <c r="I1" s="20" t="s">
        <v>40</v>
      </c>
      <c r="J1" s="20" t="s">
        <v>62</v>
      </c>
      <c r="K1" s="20" t="s">
        <v>63</v>
      </c>
      <c r="L1" s="20" t="s">
        <v>64</v>
      </c>
    </row>
    <row r="2" spans="1:12" ht="15" customHeight="1">
      <c r="A2" s="19" t="s">
        <v>65</v>
      </c>
      <c r="B2" s="19" t="s">
        <v>58</v>
      </c>
      <c r="C2" s="19">
        <v>11075</v>
      </c>
      <c r="D2" s="19">
        <v>4417</v>
      </c>
      <c r="E2" s="22">
        <v>39.880000000000003</v>
      </c>
      <c r="F2" s="22">
        <v>11.75</v>
      </c>
      <c r="G2" s="19">
        <v>-0.01</v>
      </c>
      <c r="H2" s="19">
        <v>1.42</v>
      </c>
      <c r="I2" s="21">
        <v>465247.74</v>
      </c>
      <c r="J2" s="19">
        <v>1</v>
      </c>
      <c r="K2" s="19">
        <v>1</v>
      </c>
      <c r="L2" s="19" t="s">
        <v>66</v>
      </c>
    </row>
    <row r="3" spans="1:12" ht="15" customHeight="1">
      <c r="A3" s="19" t="s">
        <v>65</v>
      </c>
      <c r="B3" s="19" t="s">
        <v>53</v>
      </c>
      <c r="C3" s="19">
        <v>3609</v>
      </c>
      <c r="D3" s="19">
        <v>2886</v>
      </c>
      <c r="E3" s="22">
        <v>79.97</v>
      </c>
      <c r="F3" s="22">
        <v>7.68</v>
      </c>
      <c r="G3" s="19">
        <v>2.0099999999999998</v>
      </c>
      <c r="H3" s="19">
        <v>1.42</v>
      </c>
      <c r="I3" s="21">
        <v>303644.63</v>
      </c>
      <c r="J3" s="19">
        <v>5</v>
      </c>
      <c r="K3" s="19">
        <v>2</v>
      </c>
      <c r="L3" s="19" t="s">
        <v>67</v>
      </c>
    </row>
    <row r="4" spans="1:12" ht="15" customHeight="1">
      <c r="A4" s="19" t="s">
        <v>68</v>
      </c>
      <c r="B4" s="19" t="s">
        <v>53</v>
      </c>
      <c r="C4" s="19">
        <v>3307</v>
      </c>
      <c r="D4" s="19">
        <v>2624</v>
      </c>
      <c r="E4" s="22">
        <v>79.349999999999994</v>
      </c>
      <c r="F4" s="22">
        <v>6.98</v>
      </c>
      <c r="G4" s="19">
        <v>1.99</v>
      </c>
      <c r="H4" s="19">
        <v>1.42</v>
      </c>
      <c r="I4" s="21">
        <v>277052.94</v>
      </c>
      <c r="J4" s="19">
        <v>7</v>
      </c>
      <c r="K4" s="19">
        <v>3</v>
      </c>
      <c r="L4" s="19" t="s">
        <v>67</v>
      </c>
    </row>
    <row r="5" spans="1:12" ht="15" customHeight="1">
      <c r="A5" s="19" t="s">
        <v>69</v>
      </c>
      <c r="B5" s="19" t="s">
        <v>58</v>
      </c>
      <c r="C5" s="19">
        <v>10481</v>
      </c>
      <c r="D5" s="19">
        <v>4219</v>
      </c>
      <c r="E5" s="22">
        <v>40.25</v>
      </c>
      <c r="F5" s="22">
        <v>11.23</v>
      </c>
      <c r="G5" s="19">
        <v>0.01</v>
      </c>
      <c r="H5" s="19">
        <v>1.42</v>
      </c>
      <c r="I5" s="21">
        <v>354965.89</v>
      </c>
      <c r="J5" s="19">
        <v>3</v>
      </c>
      <c r="K5" s="19">
        <v>4</v>
      </c>
      <c r="L5" s="19" t="s">
        <v>66</v>
      </c>
    </row>
    <row r="6" spans="1:12" ht="15" customHeight="1">
      <c r="A6" s="19" t="s">
        <v>70</v>
      </c>
      <c r="B6" s="19" t="s">
        <v>53</v>
      </c>
      <c r="C6" s="19">
        <v>1678</v>
      </c>
      <c r="D6" s="19">
        <v>1341</v>
      </c>
      <c r="E6" s="22">
        <v>79.92</v>
      </c>
      <c r="F6" s="22">
        <v>3.57</v>
      </c>
      <c r="G6" s="19">
        <v>1.99</v>
      </c>
      <c r="H6" s="19">
        <v>1.42</v>
      </c>
      <c r="I6" s="21">
        <v>143942.57</v>
      </c>
      <c r="J6" s="19">
        <v>11</v>
      </c>
      <c r="K6" s="19">
        <v>5</v>
      </c>
      <c r="L6" s="19" t="s">
        <v>66</v>
      </c>
    </row>
    <row r="7" spans="1:12" ht="15" customHeight="1">
      <c r="A7" s="19" t="s">
        <v>68</v>
      </c>
      <c r="B7" s="19" t="s">
        <v>58</v>
      </c>
      <c r="C7" s="19">
        <v>10323</v>
      </c>
      <c r="D7" s="19">
        <v>4072</v>
      </c>
      <c r="E7" s="22">
        <v>39.450000000000003</v>
      </c>
      <c r="F7" s="22">
        <v>10.83</v>
      </c>
      <c r="G7" s="19">
        <v>-0.01</v>
      </c>
      <c r="H7" s="19">
        <v>1.41</v>
      </c>
      <c r="I7" s="21">
        <v>427166.73</v>
      </c>
      <c r="J7" s="19">
        <v>2</v>
      </c>
      <c r="K7" s="19">
        <v>6</v>
      </c>
      <c r="L7" s="19" t="s">
        <v>66</v>
      </c>
    </row>
    <row r="8" spans="1:12" ht="15" customHeight="1">
      <c r="A8" s="19" t="s">
        <v>71</v>
      </c>
      <c r="B8" s="19" t="s">
        <v>53</v>
      </c>
      <c r="C8" s="19">
        <v>715</v>
      </c>
      <c r="D8" s="19">
        <v>573</v>
      </c>
      <c r="E8" s="22">
        <v>80.14</v>
      </c>
      <c r="F8" s="22">
        <v>1.52</v>
      </c>
      <c r="G8" s="19">
        <v>1.98</v>
      </c>
      <c r="H8" s="19">
        <v>1.41</v>
      </c>
      <c r="I8" s="21">
        <v>56477.4</v>
      </c>
      <c r="J8" s="19">
        <v>15</v>
      </c>
      <c r="K8" s="19">
        <v>7</v>
      </c>
      <c r="L8" s="19" t="s">
        <v>66</v>
      </c>
    </row>
    <row r="9" spans="1:12" ht="15" customHeight="1">
      <c r="A9" s="19" t="s">
        <v>70</v>
      </c>
      <c r="B9" s="19" t="s">
        <v>58</v>
      </c>
      <c r="C9" s="19">
        <v>5097</v>
      </c>
      <c r="D9" s="19">
        <v>2032</v>
      </c>
      <c r="E9" s="22">
        <v>39.869999999999997</v>
      </c>
      <c r="F9" s="22">
        <v>5.41</v>
      </c>
      <c r="G9" s="19">
        <v>0</v>
      </c>
      <c r="H9" s="19">
        <v>1.41</v>
      </c>
      <c r="I9" s="21">
        <v>208452.86</v>
      </c>
      <c r="J9" s="19">
        <v>10</v>
      </c>
      <c r="K9" s="19">
        <v>8</v>
      </c>
      <c r="L9" s="19" t="s">
        <v>72</v>
      </c>
    </row>
    <row r="10" spans="1:12" ht="15" customHeight="1">
      <c r="A10" s="19" t="s">
        <v>71</v>
      </c>
      <c r="B10" s="19" t="s">
        <v>58</v>
      </c>
      <c r="C10" s="19">
        <v>2348</v>
      </c>
      <c r="D10" s="19">
        <v>939</v>
      </c>
      <c r="E10" s="22">
        <v>39.99</v>
      </c>
      <c r="F10" s="22">
        <v>2.5</v>
      </c>
      <c r="G10" s="19">
        <v>0.01</v>
      </c>
      <c r="H10" s="19">
        <v>1.41</v>
      </c>
      <c r="I10" s="21">
        <v>98827.77</v>
      </c>
      <c r="J10" s="19">
        <v>13</v>
      </c>
      <c r="K10" s="19">
        <v>9</v>
      </c>
      <c r="L10" s="19" t="s">
        <v>73</v>
      </c>
    </row>
    <row r="11" spans="1:12" ht="15" customHeight="1">
      <c r="A11" s="19" t="s">
        <v>69</v>
      </c>
      <c r="B11" s="19" t="s">
        <v>53</v>
      </c>
      <c r="C11" s="19">
        <v>3469</v>
      </c>
      <c r="D11" s="19">
        <v>2789</v>
      </c>
      <c r="E11" s="22">
        <v>80.400000000000006</v>
      </c>
      <c r="F11" s="22">
        <v>7.42</v>
      </c>
      <c r="G11" s="19">
        <v>2.0099999999999998</v>
      </c>
      <c r="H11" s="19">
        <v>1.4</v>
      </c>
      <c r="I11" s="21">
        <v>233471.68</v>
      </c>
      <c r="J11" s="19">
        <v>8</v>
      </c>
      <c r="K11" s="19">
        <v>10</v>
      </c>
      <c r="L11" s="19" t="s">
        <v>67</v>
      </c>
    </row>
    <row r="12" spans="1:12" ht="15" customHeight="1">
      <c r="A12" s="19" t="s">
        <v>68</v>
      </c>
      <c r="B12" s="19" t="s">
        <v>55</v>
      </c>
      <c r="C12" s="19">
        <v>913</v>
      </c>
      <c r="D12" s="19">
        <v>470</v>
      </c>
      <c r="E12" s="22">
        <v>51.48</v>
      </c>
      <c r="F12" s="22">
        <v>1.25</v>
      </c>
      <c r="G12" s="19">
        <v>0.51</v>
      </c>
      <c r="H12" s="19">
        <v>0.5</v>
      </c>
      <c r="I12" s="21">
        <v>42977.9</v>
      </c>
      <c r="J12" s="19">
        <v>17</v>
      </c>
      <c r="K12" s="19">
        <v>11</v>
      </c>
      <c r="L12" s="19" t="s">
        <v>72</v>
      </c>
    </row>
    <row r="13" spans="1:12" ht="15" customHeight="1">
      <c r="A13" s="19" t="s">
        <v>65</v>
      </c>
      <c r="B13" s="19" t="s">
        <v>55</v>
      </c>
      <c r="C13" s="19">
        <v>999</v>
      </c>
      <c r="D13" s="19">
        <v>480</v>
      </c>
      <c r="E13" s="22">
        <v>48.05</v>
      </c>
      <c r="F13" s="22">
        <v>1.28</v>
      </c>
      <c r="G13" s="19">
        <v>0.48</v>
      </c>
      <c r="H13" s="19">
        <v>0.5</v>
      </c>
      <c r="I13" s="21">
        <v>47960.83</v>
      </c>
      <c r="J13" s="19">
        <v>16</v>
      </c>
      <c r="K13" s="19">
        <v>12</v>
      </c>
      <c r="L13" s="19" t="s">
        <v>72</v>
      </c>
    </row>
    <row r="14" spans="1:12" ht="15" customHeight="1">
      <c r="A14" s="19" t="s">
        <v>69</v>
      </c>
      <c r="B14" s="19" t="s">
        <v>55</v>
      </c>
      <c r="C14" s="19">
        <v>959</v>
      </c>
      <c r="D14" s="19">
        <v>456</v>
      </c>
      <c r="E14" s="22">
        <v>47.55</v>
      </c>
      <c r="F14" s="22">
        <v>1.21</v>
      </c>
      <c r="G14" s="19">
        <v>0.48</v>
      </c>
      <c r="H14" s="19">
        <v>0.5</v>
      </c>
      <c r="I14" s="21">
        <v>34767.35</v>
      </c>
      <c r="J14" s="19">
        <v>18</v>
      </c>
      <c r="K14" s="19">
        <v>13</v>
      </c>
      <c r="L14" s="19" t="s">
        <v>73</v>
      </c>
    </row>
    <row r="15" spans="1:12" ht="15" customHeight="1">
      <c r="A15" s="19" t="s">
        <v>70</v>
      </c>
      <c r="B15" s="19" t="s">
        <v>55</v>
      </c>
      <c r="C15" s="19">
        <v>466</v>
      </c>
      <c r="D15" s="19">
        <v>208</v>
      </c>
      <c r="E15" s="22">
        <v>44.64</v>
      </c>
      <c r="F15" s="22">
        <v>0.55000000000000004</v>
      </c>
      <c r="G15" s="19">
        <v>0.45</v>
      </c>
      <c r="H15" s="19">
        <v>0.5</v>
      </c>
      <c r="I15" s="21">
        <v>20338.55</v>
      </c>
      <c r="J15" s="19">
        <v>19</v>
      </c>
      <c r="K15" s="19">
        <v>14</v>
      </c>
      <c r="L15" s="19" t="s">
        <v>73</v>
      </c>
    </row>
    <row r="16" spans="1:12" ht="15" customHeight="1">
      <c r="A16" s="19" t="s">
        <v>65</v>
      </c>
      <c r="B16" s="19" t="s">
        <v>50</v>
      </c>
      <c r="C16" s="19">
        <v>2878</v>
      </c>
      <c r="D16" s="19">
        <v>2878</v>
      </c>
      <c r="E16" s="22">
        <v>100</v>
      </c>
      <c r="F16" s="22">
        <v>7.66</v>
      </c>
      <c r="G16" s="19">
        <v>1</v>
      </c>
      <c r="H16" s="19">
        <v>0</v>
      </c>
      <c r="I16" s="21">
        <v>309902.77</v>
      </c>
      <c r="J16" s="19">
        <v>4</v>
      </c>
      <c r="K16" s="19">
        <v>15</v>
      </c>
      <c r="L16" s="19" t="s">
        <v>74</v>
      </c>
    </row>
    <row r="17" spans="1:12" ht="15" customHeight="1">
      <c r="A17" s="19" t="s">
        <v>69</v>
      </c>
      <c r="B17" s="19" t="s">
        <v>50</v>
      </c>
      <c r="C17" s="19">
        <v>2668</v>
      </c>
      <c r="D17" s="19">
        <v>2668</v>
      </c>
      <c r="E17" s="22">
        <v>100</v>
      </c>
      <c r="F17" s="22">
        <v>7.1</v>
      </c>
      <c r="G17" s="19">
        <v>1</v>
      </c>
      <c r="H17" s="19">
        <v>0</v>
      </c>
      <c r="I17" s="21">
        <v>233132.37</v>
      </c>
      <c r="J17" s="19">
        <v>9</v>
      </c>
      <c r="K17" s="19">
        <v>16</v>
      </c>
      <c r="L17" s="19" t="s">
        <v>74</v>
      </c>
    </row>
    <row r="18" spans="1:12" ht="15" customHeight="1">
      <c r="A18" s="19" t="s">
        <v>68</v>
      </c>
      <c r="B18" s="19" t="s">
        <v>50</v>
      </c>
      <c r="C18" s="19">
        <v>2638</v>
      </c>
      <c r="D18" s="19">
        <v>2638</v>
      </c>
      <c r="E18" s="22">
        <v>100</v>
      </c>
      <c r="F18" s="22">
        <v>7.02</v>
      </c>
      <c r="G18" s="19">
        <v>1</v>
      </c>
      <c r="H18" s="19">
        <v>0</v>
      </c>
      <c r="I18" s="21">
        <v>284501.2</v>
      </c>
      <c r="J18" s="19">
        <v>6</v>
      </c>
      <c r="K18" s="19">
        <v>17</v>
      </c>
      <c r="L18" s="19" t="s">
        <v>74</v>
      </c>
    </row>
    <row r="19" spans="1:12" ht="15" customHeight="1">
      <c r="A19" s="19" t="s">
        <v>70</v>
      </c>
      <c r="B19" s="19" t="s">
        <v>50</v>
      </c>
      <c r="C19" s="19">
        <v>1338</v>
      </c>
      <c r="D19" s="19">
        <v>1338</v>
      </c>
      <c r="E19" s="22">
        <v>100</v>
      </c>
      <c r="F19" s="22">
        <v>3.56</v>
      </c>
      <c r="G19" s="19">
        <v>1</v>
      </c>
      <c r="H19" s="19">
        <v>0</v>
      </c>
      <c r="I19" s="21">
        <v>139139.09</v>
      </c>
      <c r="J19" s="19">
        <v>12</v>
      </c>
      <c r="K19" s="19">
        <v>18</v>
      </c>
      <c r="L19" s="19" t="s">
        <v>74</v>
      </c>
    </row>
    <row r="20" spans="1:12" ht="15" customHeight="1">
      <c r="A20" s="19" t="s">
        <v>71</v>
      </c>
      <c r="B20" s="19" t="s">
        <v>50</v>
      </c>
      <c r="C20" s="19">
        <v>557</v>
      </c>
      <c r="D20" s="19">
        <v>557</v>
      </c>
      <c r="E20" s="22">
        <v>100</v>
      </c>
      <c r="F20" s="22">
        <v>1.48</v>
      </c>
      <c r="G20" s="19">
        <v>1</v>
      </c>
      <c r="H20" s="19">
        <v>0</v>
      </c>
      <c r="I20" s="21">
        <v>60050.09</v>
      </c>
      <c r="J20" s="19">
        <v>14</v>
      </c>
      <c r="K20" s="19">
        <v>19</v>
      </c>
      <c r="L20" s="19" t="s">
        <v>74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6"/>
  <sheetViews>
    <sheetView showGridLines="0" workbookViewId="0"/>
  </sheetViews>
  <sheetFormatPr defaultRowHeight="14.25"/>
  <cols>
    <col min="1" max="1" width="8.875" customWidth="1"/>
    <col min="2" max="2" width="9.375" customWidth="1"/>
    <col min="3" max="4" width="9" customWidth="1"/>
    <col min="5" max="5" width="8.625" customWidth="1"/>
    <col min="6" max="6" width="12.25" customWidth="1"/>
    <col min="7" max="7" width="13.75" customWidth="1"/>
    <col min="8" max="8" width="12.25" customWidth="1"/>
    <col min="9" max="9" width="14" customWidth="1"/>
    <col min="10" max="10" width="9.875" customWidth="1"/>
  </cols>
  <sheetData>
    <row r="1" spans="1:10" ht="30" customHeight="1">
      <c r="A1" s="20" t="s">
        <v>59</v>
      </c>
      <c r="B1" s="20" t="s">
        <v>37</v>
      </c>
      <c r="C1" s="20" t="s">
        <v>75</v>
      </c>
      <c r="D1" s="20" t="s">
        <v>76</v>
      </c>
      <c r="E1" s="20" t="s">
        <v>77</v>
      </c>
      <c r="F1" s="20" t="s">
        <v>30</v>
      </c>
      <c r="G1" s="20" t="s">
        <v>78</v>
      </c>
      <c r="H1" s="20" t="s">
        <v>79</v>
      </c>
      <c r="I1" s="20" t="s">
        <v>80</v>
      </c>
      <c r="J1" s="20" t="s">
        <v>40</v>
      </c>
    </row>
    <row r="2" spans="1:10" ht="15" customHeight="1">
      <c r="A2" s="19" t="s">
        <v>68</v>
      </c>
      <c r="B2" s="19">
        <v>17181</v>
      </c>
      <c r="C2" s="21">
        <v>9235762.0899999999</v>
      </c>
      <c r="D2" s="21">
        <v>1123321.6100000001</v>
      </c>
      <c r="E2" s="22">
        <v>12.16</v>
      </c>
      <c r="F2" s="22">
        <v>57.06</v>
      </c>
      <c r="G2" s="22">
        <v>26.13</v>
      </c>
      <c r="H2" s="22">
        <v>28.32</v>
      </c>
      <c r="I2" s="22">
        <v>2.19</v>
      </c>
      <c r="J2" s="22">
        <v>1031698.77</v>
      </c>
    </row>
    <row r="3" spans="1:10" ht="15" customHeight="1">
      <c r="A3" s="19" t="s">
        <v>65</v>
      </c>
      <c r="B3" s="19">
        <v>18561</v>
      </c>
      <c r="C3" s="21">
        <v>9769198.3200000003</v>
      </c>
      <c r="D3" s="21">
        <v>1169442.96</v>
      </c>
      <c r="E3" s="22">
        <v>11.97</v>
      </c>
      <c r="F3" s="22">
        <v>57.44</v>
      </c>
      <c r="G3" s="22">
        <v>28.23</v>
      </c>
      <c r="H3" s="22">
        <v>29.48</v>
      </c>
      <c r="I3" s="22">
        <v>1.25</v>
      </c>
      <c r="J3" s="22">
        <v>1126755.97</v>
      </c>
    </row>
    <row r="4" spans="1:10" ht="15" customHeight="1">
      <c r="A4" s="19" t="s">
        <v>70</v>
      </c>
      <c r="B4" s="19">
        <v>8579</v>
      </c>
      <c r="C4" s="21">
        <v>4553499.92</v>
      </c>
      <c r="D4" s="21">
        <v>564313.78</v>
      </c>
      <c r="E4" s="22">
        <v>12.39</v>
      </c>
      <c r="F4" s="22">
        <v>57.34</v>
      </c>
      <c r="G4" s="22">
        <v>13.05</v>
      </c>
      <c r="H4" s="22">
        <v>14.23</v>
      </c>
      <c r="I4" s="22">
        <v>1.18</v>
      </c>
      <c r="J4" s="22">
        <v>511873.07</v>
      </c>
    </row>
    <row r="5" spans="1:10" ht="15" customHeight="1">
      <c r="A5" s="19" t="s">
        <v>71</v>
      </c>
      <c r="B5" s="19">
        <v>3854</v>
      </c>
      <c r="C5" s="21">
        <v>2061679.39</v>
      </c>
      <c r="D5" s="21">
        <v>252071.18</v>
      </c>
      <c r="E5" s="22">
        <v>12.23</v>
      </c>
      <c r="F5" s="22">
        <v>56.62</v>
      </c>
      <c r="G5" s="22">
        <v>5.86</v>
      </c>
      <c r="H5" s="22">
        <v>6.35</v>
      </c>
      <c r="I5" s="22">
        <v>0.49</v>
      </c>
      <c r="J5" s="22">
        <v>226663.32</v>
      </c>
    </row>
    <row r="6" spans="1:10" ht="15" customHeight="1">
      <c r="A6" s="19" t="s">
        <v>69</v>
      </c>
      <c r="B6" s="19">
        <v>17577</v>
      </c>
      <c r="C6" s="21">
        <v>7434262.6500000004</v>
      </c>
      <c r="D6" s="21">
        <v>857753.44</v>
      </c>
      <c r="E6" s="22">
        <v>11.54</v>
      </c>
      <c r="F6" s="22">
        <v>57.64</v>
      </c>
      <c r="G6" s="22">
        <v>26.73</v>
      </c>
      <c r="H6" s="22">
        <v>21.62</v>
      </c>
      <c r="I6" s="22">
        <v>-5.1100000000000003</v>
      </c>
      <c r="J6" s="22">
        <v>856337.29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"/>
  <sheetViews>
    <sheetView showGridLines="0" workbookViewId="0"/>
  </sheetViews>
  <sheetFormatPr defaultRowHeight="14.25"/>
  <cols>
    <col min="1" max="1" width="14.5" customWidth="1"/>
    <col min="2" max="2" width="9.375" customWidth="1"/>
    <col min="3" max="3" width="10.5" customWidth="1"/>
    <col min="4" max="4" width="12.25" customWidth="1"/>
    <col min="5" max="5" width="10" customWidth="1"/>
    <col min="6" max="6" width="9" customWidth="1"/>
    <col min="7" max="7" width="9.875" customWidth="1"/>
    <col min="8" max="8" width="13.75" customWidth="1"/>
    <col min="9" max="9" width="12.25" customWidth="1"/>
  </cols>
  <sheetData>
    <row r="1" spans="1:9" ht="30" customHeight="1">
      <c r="A1" s="20" t="s">
        <v>81</v>
      </c>
      <c r="B1" s="20" t="s">
        <v>37</v>
      </c>
      <c r="C1" s="20" t="s">
        <v>38</v>
      </c>
      <c r="D1" s="20" t="s">
        <v>30</v>
      </c>
      <c r="E1" s="20" t="s">
        <v>75</v>
      </c>
      <c r="F1" s="20" t="s">
        <v>76</v>
      </c>
      <c r="G1" s="20" t="s">
        <v>40</v>
      </c>
      <c r="H1" s="20" t="s">
        <v>78</v>
      </c>
      <c r="I1" s="20" t="s">
        <v>79</v>
      </c>
    </row>
    <row r="2" spans="1:9" ht="15" customHeight="1">
      <c r="A2" s="19" t="s">
        <v>82</v>
      </c>
      <c r="B2" s="19">
        <v>34119</v>
      </c>
      <c r="C2" s="19">
        <v>19542</v>
      </c>
      <c r="D2" s="21">
        <v>57.28</v>
      </c>
      <c r="E2" s="21">
        <v>17164278.370000001</v>
      </c>
      <c r="F2" s="21">
        <v>2073487.67</v>
      </c>
      <c r="G2" s="22">
        <v>1953558.93</v>
      </c>
      <c r="H2" s="22">
        <v>51.89</v>
      </c>
      <c r="I2" s="22">
        <v>52.27</v>
      </c>
    </row>
    <row r="3" spans="1:9" ht="15" customHeight="1">
      <c r="A3" s="19" t="s">
        <v>83</v>
      </c>
      <c r="B3" s="19">
        <v>19856</v>
      </c>
      <c r="C3" s="19">
        <v>11359</v>
      </c>
      <c r="D3" s="21">
        <v>57.21</v>
      </c>
      <c r="E3" s="21">
        <v>10030649.9</v>
      </c>
      <c r="F3" s="21">
        <v>1202574.96</v>
      </c>
      <c r="G3" s="22">
        <v>1134846.57</v>
      </c>
      <c r="H3" s="22">
        <v>30.2</v>
      </c>
      <c r="I3" s="22">
        <v>30.32</v>
      </c>
    </row>
    <row r="4" spans="1:9" ht="15" customHeight="1">
      <c r="A4" s="19" t="s">
        <v>84</v>
      </c>
      <c r="B4" s="19">
        <v>11777</v>
      </c>
      <c r="C4" s="19">
        <v>6797</v>
      </c>
      <c r="D4" s="21">
        <v>57.71</v>
      </c>
      <c r="E4" s="21">
        <v>5859474.1100000003</v>
      </c>
      <c r="F4" s="21">
        <v>690840.34</v>
      </c>
      <c r="G4" s="22">
        <v>664922.92000000004</v>
      </c>
      <c r="H4" s="22">
        <v>17.91</v>
      </c>
      <c r="I4" s="22">
        <v>17.420000000000002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4"/>
  <sheetViews>
    <sheetView showGridLines="0" workbookViewId="0"/>
  </sheetViews>
  <sheetFormatPr defaultRowHeight="14.25"/>
  <cols>
    <col min="1" max="1" width="37.125" customWidth="1"/>
    <col min="2" max="2" width="12.5" customWidth="1"/>
    <col min="3" max="3" width="24.75" customWidth="1"/>
    <col min="4" max="4" width="11.75" customWidth="1"/>
    <col min="5" max="5" width="13.75" customWidth="1"/>
    <col min="6" max="6" width="114.5" customWidth="1"/>
  </cols>
  <sheetData>
    <row r="1" spans="1:6" ht="30" customHeight="1">
      <c r="A1" s="20" t="s">
        <v>85</v>
      </c>
      <c r="B1" s="20" t="s">
        <v>86</v>
      </c>
      <c r="C1" s="20" t="s">
        <v>87</v>
      </c>
      <c r="D1" s="20" t="s">
        <v>88</v>
      </c>
      <c r="E1" s="20" t="s">
        <v>89</v>
      </c>
      <c r="F1" s="20" t="s">
        <v>90</v>
      </c>
    </row>
    <row r="2" spans="1:6" ht="15" customHeight="1">
      <c r="A2" s="19" t="s">
        <v>91</v>
      </c>
      <c r="B2" s="19">
        <v>12778</v>
      </c>
      <c r="C2" s="19">
        <v>2531</v>
      </c>
      <c r="D2" s="21">
        <v>253000.87</v>
      </c>
      <c r="E2" s="19">
        <v>2531</v>
      </c>
      <c r="F2" s="19" t="s">
        <v>92</v>
      </c>
    </row>
    <row r="3" spans="1:6" ht="15" customHeight="1">
      <c r="A3" s="19" t="s">
        <v>93</v>
      </c>
      <c r="B3" s="19">
        <v>3159</v>
      </c>
      <c r="C3" s="19">
        <v>1256</v>
      </c>
      <c r="D3" s="21">
        <v>626948.32999999996</v>
      </c>
      <c r="E3" s="19">
        <v>2516</v>
      </c>
      <c r="F3" s="19" t="s">
        <v>94</v>
      </c>
    </row>
    <row r="4" spans="1:6" ht="15" customHeight="1">
      <c r="A4" s="19" t="s">
        <v>95</v>
      </c>
      <c r="B4" s="19">
        <v>30150</v>
      </c>
      <c r="C4" s="19">
        <v>3097</v>
      </c>
      <c r="D4" s="21">
        <v>308970.75</v>
      </c>
      <c r="E4" s="19"/>
      <c r="F4" s="19" t="s">
        <v>96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8"/>
  <sheetViews>
    <sheetView showGridLines="0" workbookViewId="0"/>
  </sheetViews>
  <sheetFormatPr defaultRowHeight="14.25"/>
  <cols>
    <col min="1" max="1" width="9.875" customWidth="1"/>
    <col min="2" max="2" width="9.375" customWidth="1"/>
    <col min="3" max="3" width="10.5" customWidth="1"/>
    <col min="4" max="4" width="12.25" customWidth="1"/>
    <col min="5" max="5" width="9.875" customWidth="1"/>
    <col min="6" max="6" width="19.75" customWidth="1"/>
    <col min="7" max="7" width="13.5" customWidth="1"/>
  </cols>
  <sheetData>
    <row r="1" spans="1:7" ht="30" customHeight="1">
      <c r="A1" s="20" t="s">
        <v>97</v>
      </c>
      <c r="B1" s="20" t="s">
        <v>37</v>
      </c>
      <c r="C1" s="20" t="s">
        <v>38</v>
      </c>
      <c r="D1" s="20" t="s">
        <v>30</v>
      </c>
      <c r="E1" s="20" t="s">
        <v>40</v>
      </c>
      <c r="F1" s="20" t="s">
        <v>98</v>
      </c>
      <c r="G1" s="20" t="s">
        <v>99</v>
      </c>
    </row>
    <row r="2" spans="1:7" ht="15" customHeight="1">
      <c r="A2" s="19" t="s">
        <v>100</v>
      </c>
      <c r="B2" s="19">
        <v>1787</v>
      </c>
      <c r="C2" s="19">
        <v>1001</v>
      </c>
      <c r="D2" s="19">
        <v>56.02</v>
      </c>
      <c r="E2" s="19">
        <v>104251.01</v>
      </c>
      <c r="F2" s="19"/>
      <c r="G2" s="19"/>
    </row>
    <row r="3" spans="1:7" ht="15" customHeight="1">
      <c r="A3" s="19" t="s">
        <v>101</v>
      </c>
      <c r="B3" s="19">
        <v>1585</v>
      </c>
      <c r="C3" s="19">
        <v>918</v>
      </c>
      <c r="D3" s="19">
        <v>57.92</v>
      </c>
      <c r="E3" s="19">
        <v>94651.66</v>
      </c>
      <c r="F3" s="19">
        <v>1.9</v>
      </c>
      <c r="G3" s="19">
        <v>-9599.35</v>
      </c>
    </row>
    <row r="4" spans="1:7" ht="15" customHeight="1">
      <c r="A4" s="19" t="s">
        <v>102</v>
      </c>
      <c r="B4" s="19">
        <v>1781</v>
      </c>
      <c r="C4" s="19">
        <v>1024</v>
      </c>
      <c r="D4" s="19">
        <v>57.5</v>
      </c>
      <c r="E4" s="19">
        <v>99991.83</v>
      </c>
      <c r="F4" s="19">
        <v>-0.42</v>
      </c>
      <c r="G4" s="19">
        <v>5340.17</v>
      </c>
    </row>
    <row r="5" spans="1:7" ht="15" customHeight="1">
      <c r="A5" s="19" t="s">
        <v>103</v>
      </c>
      <c r="B5" s="19">
        <v>1710</v>
      </c>
      <c r="C5" s="19">
        <v>972</v>
      </c>
      <c r="D5" s="19">
        <v>56.84</v>
      </c>
      <c r="E5" s="19">
        <v>101200.4</v>
      </c>
      <c r="F5" s="19">
        <v>-0.66</v>
      </c>
      <c r="G5" s="19">
        <v>1208.57</v>
      </c>
    </row>
    <row r="6" spans="1:7" ht="15" customHeight="1">
      <c r="A6" s="19" t="s">
        <v>104</v>
      </c>
      <c r="B6" s="19">
        <v>1776</v>
      </c>
      <c r="C6" s="19">
        <v>1025</v>
      </c>
      <c r="D6" s="19">
        <v>57.71</v>
      </c>
      <c r="E6" s="19">
        <v>108003.51</v>
      </c>
      <c r="F6" s="19">
        <v>0.87</v>
      </c>
      <c r="G6" s="19">
        <v>6803.11</v>
      </c>
    </row>
    <row r="7" spans="1:7" ht="15" customHeight="1">
      <c r="A7" s="19" t="s">
        <v>105</v>
      </c>
      <c r="B7" s="19">
        <v>1725</v>
      </c>
      <c r="C7" s="19">
        <v>979</v>
      </c>
      <c r="D7" s="19">
        <v>56.75</v>
      </c>
      <c r="E7" s="19">
        <v>102289.88</v>
      </c>
      <c r="F7" s="19">
        <v>-0.96</v>
      </c>
      <c r="G7" s="19">
        <v>-5713.63</v>
      </c>
    </row>
    <row r="8" spans="1:7" ht="15" customHeight="1">
      <c r="A8" s="19" t="s">
        <v>106</v>
      </c>
      <c r="B8" s="19">
        <v>1763</v>
      </c>
      <c r="C8" s="19">
        <v>1002</v>
      </c>
      <c r="D8" s="19">
        <v>56.83</v>
      </c>
      <c r="E8" s="19">
        <v>104826.74</v>
      </c>
      <c r="F8" s="19">
        <v>0.08</v>
      </c>
      <c r="G8" s="19">
        <v>2536.86</v>
      </c>
    </row>
    <row r="9" spans="1:7" ht="15" customHeight="1">
      <c r="A9" s="19" t="s">
        <v>107</v>
      </c>
      <c r="B9" s="19">
        <v>1762</v>
      </c>
      <c r="C9" s="19">
        <v>1010</v>
      </c>
      <c r="D9" s="19">
        <v>57.32</v>
      </c>
      <c r="E9" s="19">
        <v>104750.03</v>
      </c>
      <c r="F9" s="19">
        <v>0.49</v>
      </c>
      <c r="G9" s="19">
        <v>-76.709999999999994</v>
      </c>
    </row>
    <row r="10" spans="1:7" ht="15" customHeight="1">
      <c r="A10" s="19" t="s">
        <v>108</v>
      </c>
      <c r="B10" s="19">
        <v>1706</v>
      </c>
      <c r="C10" s="19">
        <v>985</v>
      </c>
      <c r="D10" s="19">
        <v>57.74</v>
      </c>
      <c r="E10" s="19">
        <v>107924.11</v>
      </c>
      <c r="F10" s="19">
        <v>0.42</v>
      </c>
      <c r="G10" s="19">
        <v>3174.08</v>
      </c>
    </row>
    <row r="11" spans="1:7" ht="15" customHeight="1">
      <c r="A11" s="19" t="s">
        <v>109</v>
      </c>
      <c r="B11" s="19">
        <v>1775</v>
      </c>
      <c r="C11" s="19">
        <v>1015</v>
      </c>
      <c r="D11" s="19">
        <v>57.18</v>
      </c>
      <c r="E11" s="19">
        <v>103680.66</v>
      </c>
      <c r="F11" s="19">
        <v>-0.56000000000000005</v>
      </c>
      <c r="G11" s="19">
        <v>-4243.45</v>
      </c>
    </row>
    <row r="12" spans="1:7" ht="15" customHeight="1">
      <c r="A12" s="19" t="s">
        <v>110</v>
      </c>
      <c r="B12" s="19">
        <v>1729</v>
      </c>
      <c r="C12" s="19">
        <v>981</v>
      </c>
      <c r="D12" s="19">
        <v>56.74</v>
      </c>
      <c r="E12" s="19">
        <v>101319.43</v>
      </c>
      <c r="F12" s="19">
        <v>-0.44</v>
      </c>
      <c r="G12" s="19">
        <v>-2361.23</v>
      </c>
    </row>
    <row r="13" spans="1:7" ht="15" customHeight="1">
      <c r="A13" s="19" t="s">
        <v>111</v>
      </c>
      <c r="B13" s="19">
        <v>1805</v>
      </c>
      <c r="C13" s="19">
        <v>1030</v>
      </c>
      <c r="D13" s="19">
        <v>57.06</v>
      </c>
      <c r="E13" s="19">
        <v>105767.11</v>
      </c>
      <c r="F13" s="19">
        <v>0.32</v>
      </c>
      <c r="G13" s="19">
        <v>4447.68</v>
      </c>
    </row>
    <row r="14" spans="1:7" ht="15" customHeight="1">
      <c r="A14" s="19" t="s">
        <v>112</v>
      </c>
      <c r="B14" s="19">
        <v>1772</v>
      </c>
      <c r="C14" s="19">
        <v>1038</v>
      </c>
      <c r="D14" s="19">
        <v>58.58</v>
      </c>
      <c r="E14" s="19">
        <v>102899.83</v>
      </c>
      <c r="F14" s="19">
        <v>1.52</v>
      </c>
      <c r="G14" s="19">
        <v>-2867.28</v>
      </c>
    </row>
    <row r="15" spans="1:7" ht="15" customHeight="1">
      <c r="A15" s="19" t="s">
        <v>113</v>
      </c>
      <c r="B15" s="19">
        <v>1650</v>
      </c>
      <c r="C15" s="19">
        <v>932</v>
      </c>
      <c r="D15" s="19">
        <v>56.48</v>
      </c>
      <c r="E15" s="19">
        <v>92737.06</v>
      </c>
      <c r="F15" s="19">
        <v>-2.1</v>
      </c>
      <c r="G15" s="19">
        <v>-10162.77</v>
      </c>
    </row>
    <row r="16" spans="1:7" ht="15" customHeight="1">
      <c r="A16" s="19" t="s">
        <v>114</v>
      </c>
      <c r="B16" s="19">
        <v>1764</v>
      </c>
      <c r="C16" s="19">
        <v>1022</v>
      </c>
      <c r="D16" s="19">
        <v>57.94</v>
      </c>
      <c r="E16" s="19">
        <v>100488.66</v>
      </c>
      <c r="F16" s="19">
        <v>1.46</v>
      </c>
      <c r="G16" s="19">
        <v>7751.6</v>
      </c>
    </row>
    <row r="17" spans="1:7" ht="15" customHeight="1">
      <c r="A17" s="19" t="s">
        <v>115</v>
      </c>
      <c r="B17" s="19">
        <v>1706</v>
      </c>
      <c r="C17" s="19">
        <v>961</v>
      </c>
      <c r="D17" s="19">
        <v>56.33</v>
      </c>
      <c r="E17" s="19">
        <v>97005.55</v>
      </c>
      <c r="F17" s="19">
        <v>-1.61</v>
      </c>
      <c r="G17" s="19">
        <v>-3483.11</v>
      </c>
    </row>
    <row r="18" spans="1:7" ht="15" customHeight="1">
      <c r="A18" s="19" t="s">
        <v>116</v>
      </c>
      <c r="B18" s="19">
        <v>1763</v>
      </c>
      <c r="C18" s="19">
        <v>1016</v>
      </c>
      <c r="D18" s="19">
        <v>57.63</v>
      </c>
      <c r="E18" s="19">
        <v>101534.32</v>
      </c>
      <c r="F18" s="19">
        <v>1.3</v>
      </c>
      <c r="G18" s="19">
        <v>4528.7700000000004</v>
      </c>
    </row>
    <row r="19" spans="1:7" ht="15" customHeight="1">
      <c r="A19" s="19" t="s">
        <v>117</v>
      </c>
      <c r="B19" s="19">
        <v>1690</v>
      </c>
      <c r="C19" s="19">
        <v>1005</v>
      </c>
      <c r="D19" s="19">
        <v>59.47</v>
      </c>
      <c r="E19" s="19">
        <v>106419.43</v>
      </c>
      <c r="F19" s="19">
        <v>1.84</v>
      </c>
      <c r="G19" s="19">
        <v>4885.1099999999997</v>
      </c>
    </row>
    <row r="20" spans="1:7" ht="15" customHeight="1">
      <c r="A20" s="19" t="s">
        <v>118</v>
      </c>
      <c r="B20" s="19">
        <v>1758</v>
      </c>
      <c r="C20" s="19">
        <v>978</v>
      </c>
      <c r="D20" s="19">
        <v>55.63</v>
      </c>
      <c r="E20" s="19">
        <v>103910.01</v>
      </c>
      <c r="F20" s="19">
        <v>-3.84</v>
      </c>
      <c r="G20" s="19">
        <v>-2509.42</v>
      </c>
    </row>
    <row r="21" spans="1:7" ht="15" customHeight="1">
      <c r="A21" s="19" t="s">
        <v>119</v>
      </c>
      <c r="B21" s="19">
        <v>1766</v>
      </c>
      <c r="C21" s="19">
        <v>1023</v>
      </c>
      <c r="D21" s="19">
        <v>57.93</v>
      </c>
      <c r="E21" s="19">
        <v>105970.43</v>
      </c>
      <c r="F21" s="19">
        <v>2.2999999999999998</v>
      </c>
      <c r="G21" s="19">
        <v>2060.42</v>
      </c>
    </row>
    <row r="22" spans="1:7" ht="15" customHeight="1">
      <c r="A22" s="19" t="s">
        <v>120</v>
      </c>
      <c r="B22" s="19">
        <v>1730</v>
      </c>
      <c r="C22" s="19">
        <v>987</v>
      </c>
      <c r="D22" s="19">
        <v>57.05</v>
      </c>
      <c r="E22" s="19">
        <v>107275.67</v>
      </c>
      <c r="F22" s="19">
        <v>-0.88</v>
      </c>
      <c r="G22" s="19">
        <v>1305.24</v>
      </c>
    </row>
    <row r="23" spans="1:7" ht="15" customHeight="1">
      <c r="A23" s="19" t="s">
        <v>121</v>
      </c>
      <c r="B23" s="19">
        <v>1776</v>
      </c>
      <c r="C23" s="19">
        <v>1018</v>
      </c>
      <c r="D23" s="19">
        <v>57.32</v>
      </c>
      <c r="E23" s="19">
        <v>103781.31</v>
      </c>
      <c r="F23" s="19">
        <v>0.27</v>
      </c>
      <c r="G23" s="19">
        <v>-3494.36</v>
      </c>
    </row>
    <row r="24" spans="1:7" ht="15" customHeight="1">
      <c r="A24" s="19" t="s">
        <v>122</v>
      </c>
      <c r="B24" s="19">
        <v>1721</v>
      </c>
      <c r="C24" s="19">
        <v>976</v>
      </c>
      <c r="D24" s="19">
        <v>56.71</v>
      </c>
      <c r="E24" s="19">
        <v>105682.96</v>
      </c>
      <c r="F24" s="19">
        <v>-0.61</v>
      </c>
      <c r="G24" s="19">
        <v>1901.65</v>
      </c>
    </row>
    <row r="25" spans="1:7" ht="15" customHeight="1">
      <c r="A25" s="19" t="s">
        <v>123</v>
      </c>
      <c r="B25" s="19">
        <v>1763</v>
      </c>
      <c r="C25" s="19">
        <v>1035</v>
      </c>
      <c r="D25" s="19">
        <v>58.71</v>
      </c>
      <c r="E25" s="19">
        <v>102766.35</v>
      </c>
      <c r="F25" s="19">
        <v>2</v>
      </c>
      <c r="G25" s="19">
        <v>-2916.61</v>
      </c>
    </row>
    <row r="26" spans="1:7" ht="15" customHeight="1">
      <c r="A26" s="19" t="s">
        <v>124</v>
      </c>
      <c r="B26" s="19">
        <v>1745</v>
      </c>
      <c r="C26" s="19">
        <v>977</v>
      </c>
      <c r="D26" s="19">
        <v>55.99</v>
      </c>
      <c r="E26" s="19">
        <v>97779.520000000004</v>
      </c>
      <c r="F26" s="19">
        <v>-2.72</v>
      </c>
      <c r="G26" s="19">
        <v>-4986.83</v>
      </c>
    </row>
    <row r="27" spans="1:7" ht="15" customHeight="1">
      <c r="A27" s="19" t="s">
        <v>125</v>
      </c>
      <c r="B27" s="19">
        <v>1614</v>
      </c>
      <c r="C27" s="19">
        <v>925</v>
      </c>
      <c r="D27" s="19">
        <v>57.31</v>
      </c>
      <c r="E27" s="19">
        <v>108236.61</v>
      </c>
      <c r="F27" s="19">
        <v>1.32</v>
      </c>
      <c r="G27" s="19">
        <v>10457.09</v>
      </c>
    </row>
    <row r="28" spans="1:7" ht="15" customHeight="1">
      <c r="A28" s="19" t="s">
        <v>126</v>
      </c>
      <c r="B28" s="19">
        <v>1782</v>
      </c>
      <c r="C28" s="19">
        <v>1033</v>
      </c>
      <c r="D28" s="19">
        <v>57.97</v>
      </c>
      <c r="E28" s="19">
        <v>106399.77</v>
      </c>
      <c r="F28" s="19">
        <v>0.66</v>
      </c>
      <c r="G28" s="19">
        <v>-1836.84</v>
      </c>
    </row>
    <row r="29" spans="1:7" ht="15" customHeight="1">
      <c r="A29" s="19" t="s">
        <v>127</v>
      </c>
      <c r="B29" s="19">
        <v>1739</v>
      </c>
      <c r="C29" s="19">
        <v>962</v>
      </c>
      <c r="D29" s="19">
        <v>55.32</v>
      </c>
      <c r="E29" s="19">
        <v>103208.61</v>
      </c>
      <c r="F29" s="19">
        <v>-2.65</v>
      </c>
      <c r="G29" s="19">
        <v>-3191.16</v>
      </c>
    </row>
    <row r="30" spans="1:7" ht="15" customHeight="1">
      <c r="A30" s="19" t="s">
        <v>128</v>
      </c>
      <c r="B30" s="19">
        <v>1763</v>
      </c>
      <c r="C30" s="19">
        <v>1020</v>
      </c>
      <c r="D30" s="19">
        <v>57.86</v>
      </c>
      <c r="E30" s="19">
        <v>105920.92</v>
      </c>
      <c r="F30" s="19">
        <v>2.54</v>
      </c>
      <c r="G30" s="19">
        <v>2712.31</v>
      </c>
    </row>
    <row r="31" spans="1:7" ht="15" customHeight="1">
      <c r="A31" s="19" t="s">
        <v>129</v>
      </c>
      <c r="B31" s="19">
        <v>1676</v>
      </c>
      <c r="C31" s="19">
        <v>953</v>
      </c>
      <c r="D31" s="19">
        <v>56.86</v>
      </c>
      <c r="E31" s="19">
        <v>101190.35</v>
      </c>
      <c r="F31" s="19">
        <v>-1</v>
      </c>
      <c r="G31" s="19">
        <v>-4730.57</v>
      </c>
    </row>
    <row r="32" spans="1:7" ht="15" customHeight="1">
      <c r="A32" s="19" t="s">
        <v>130</v>
      </c>
      <c r="B32" s="19">
        <v>1776</v>
      </c>
      <c r="C32" s="19">
        <v>1024</v>
      </c>
      <c r="D32" s="19">
        <v>57.66</v>
      </c>
      <c r="E32" s="19">
        <v>108511.93</v>
      </c>
      <c r="F32" s="19">
        <v>0.8</v>
      </c>
      <c r="G32" s="19">
        <v>7321.58</v>
      </c>
    </row>
    <row r="33" spans="1:7" ht="15" customHeight="1">
      <c r="A33" s="19" t="s">
        <v>131</v>
      </c>
      <c r="B33" s="19">
        <v>1768</v>
      </c>
      <c r="C33" s="19">
        <v>1021</v>
      </c>
      <c r="D33" s="19">
        <v>57.75</v>
      </c>
      <c r="E33" s="19">
        <v>118568.86</v>
      </c>
      <c r="F33" s="19">
        <v>0.09</v>
      </c>
      <c r="G33" s="19">
        <v>10056.93</v>
      </c>
    </row>
    <row r="34" spans="1:7" ht="15" customHeight="1">
      <c r="A34" s="19" t="s">
        <v>132</v>
      </c>
      <c r="B34" s="19">
        <v>1723</v>
      </c>
      <c r="C34" s="19">
        <v>991</v>
      </c>
      <c r="D34" s="19">
        <v>57.52</v>
      </c>
      <c r="E34" s="19">
        <v>116885.86</v>
      </c>
      <c r="F34" s="19">
        <v>-0.23</v>
      </c>
      <c r="G34" s="19">
        <v>-1683</v>
      </c>
    </row>
    <row r="35" spans="1:7" ht="15" customHeight="1">
      <c r="A35" s="19" t="s">
        <v>133</v>
      </c>
      <c r="B35" s="19">
        <v>2101</v>
      </c>
      <c r="C35" s="19">
        <v>1191</v>
      </c>
      <c r="D35" s="19">
        <v>56.69</v>
      </c>
      <c r="E35" s="19">
        <v>130289.48</v>
      </c>
      <c r="F35" s="19">
        <v>-0.83</v>
      </c>
      <c r="G35" s="19">
        <v>13403.62</v>
      </c>
    </row>
    <row r="36" spans="1:7" ht="15" customHeight="1">
      <c r="A36" s="19" t="s">
        <v>134</v>
      </c>
      <c r="B36" s="19">
        <v>2055</v>
      </c>
      <c r="C36" s="19">
        <v>1187</v>
      </c>
      <c r="D36" s="19">
        <v>57.76</v>
      </c>
      <c r="E36" s="19">
        <v>77919.03</v>
      </c>
      <c r="F36" s="19">
        <v>1.07</v>
      </c>
      <c r="G36" s="19">
        <v>-52370.45</v>
      </c>
    </row>
    <row r="37" spans="1:7" ht="15" customHeight="1">
      <c r="A37" s="19" t="s">
        <v>135</v>
      </c>
      <c r="B37" s="19">
        <v>2124</v>
      </c>
      <c r="C37" s="19">
        <v>1235</v>
      </c>
      <c r="D37" s="19">
        <v>58.15</v>
      </c>
      <c r="E37" s="19">
        <v>65938.289999999994</v>
      </c>
      <c r="F37" s="19">
        <v>0.39</v>
      </c>
      <c r="G37" s="19">
        <v>-11980.74</v>
      </c>
    </row>
    <row r="38" spans="1:7" ht="15" customHeight="1">
      <c r="A38" s="19" t="s">
        <v>136</v>
      </c>
      <c r="B38" s="19">
        <v>2123</v>
      </c>
      <c r="C38" s="19">
        <v>1246</v>
      </c>
      <c r="D38" s="19">
        <v>58.69</v>
      </c>
      <c r="E38" s="19">
        <v>43351.24</v>
      </c>
      <c r="F38" s="19">
        <v>0.54</v>
      </c>
      <c r="G38" s="19">
        <v>-22587.05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5"/>
  <sheetViews>
    <sheetView showGridLines="0" workbookViewId="0"/>
  </sheetViews>
  <sheetFormatPr defaultRowHeight="14.25"/>
  <cols>
    <col min="1" max="1" width="11.625" customWidth="1"/>
    <col min="2" max="2" width="9.375" customWidth="1"/>
    <col min="3" max="3" width="10.5" customWidth="1"/>
    <col min="4" max="4" width="12.25" customWidth="1"/>
    <col min="5" max="5" width="15.5" customWidth="1"/>
    <col min="6" max="6" width="12.5" customWidth="1"/>
    <col min="7" max="8" width="12.75" customWidth="1"/>
    <col min="9" max="9" width="13" customWidth="1"/>
    <col min="10" max="10" width="14.25" customWidth="1"/>
    <col min="11" max="11" width="9.875" customWidth="1"/>
    <col min="12" max="12" width="55.5" customWidth="1"/>
  </cols>
  <sheetData>
    <row r="1" spans="1:12" ht="30" customHeight="1">
      <c r="A1" s="20" t="s">
        <v>45</v>
      </c>
      <c r="B1" s="20" t="s">
        <v>37</v>
      </c>
      <c r="C1" s="20" t="s">
        <v>38</v>
      </c>
      <c r="D1" s="20" t="s">
        <v>30</v>
      </c>
      <c r="E1" s="20" t="s">
        <v>46</v>
      </c>
      <c r="F1" s="20" t="s">
        <v>47</v>
      </c>
      <c r="G1" s="20" t="s">
        <v>137</v>
      </c>
      <c r="H1" s="20" t="s">
        <v>138</v>
      </c>
      <c r="I1" s="20" t="s">
        <v>139</v>
      </c>
      <c r="J1" s="20" t="s">
        <v>140</v>
      </c>
      <c r="K1" s="20" t="s">
        <v>40</v>
      </c>
      <c r="L1" s="20" t="s">
        <v>141</v>
      </c>
    </row>
    <row r="2" spans="1:12" ht="15" customHeight="1">
      <c r="A2" s="19" t="s">
        <v>50</v>
      </c>
      <c r="B2" s="19">
        <v>10079</v>
      </c>
      <c r="C2" s="19">
        <v>10079</v>
      </c>
      <c r="D2" s="19">
        <v>100</v>
      </c>
      <c r="E2" s="19">
        <v>1</v>
      </c>
      <c r="F2" s="19">
        <v>2</v>
      </c>
      <c r="G2" s="19">
        <v>2</v>
      </c>
      <c r="H2" s="19">
        <v>2</v>
      </c>
      <c r="I2" s="19">
        <v>1</v>
      </c>
      <c r="J2" s="19">
        <v>2</v>
      </c>
      <c r="K2" s="19">
        <v>1026725.52</v>
      </c>
      <c r="L2" s="19" t="s">
        <v>142</v>
      </c>
    </row>
    <row r="3" spans="1:12" ht="15" customHeight="1">
      <c r="A3" s="19" t="s">
        <v>53</v>
      </c>
      <c r="B3" s="19">
        <v>12778</v>
      </c>
      <c r="C3" s="19">
        <v>10213</v>
      </c>
      <c r="D3" s="19">
        <v>79.930000000000007</v>
      </c>
      <c r="E3" s="19">
        <v>2</v>
      </c>
      <c r="F3" s="19">
        <v>4</v>
      </c>
      <c r="G3" s="19">
        <v>4</v>
      </c>
      <c r="H3" s="19">
        <v>6</v>
      </c>
      <c r="I3" s="19">
        <v>2</v>
      </c>
      <c r="J3" s="19">
        <v>6</v>
      </c>
      <c r="K3" s="19">
        <v>1014589.22</v>
      </c>
      <c r="L3" s="19" t="s">
        <v>142</v>
      </c>
    </row>
    <row r="4" spans="1:12" ht="15" customHeight="1">
      <c r="A4" s="19" t="s">
        <v>55</v>
      </c>
      <c r="B4" s="19">
        <v>3571</v>
      </c>
      <c r="C4" s="19">
        <v>1727</v>
      </c>
      <c r="D4" s="19">
        <v>48.36</v>
      </c>
      <c r="E4" s="19">
        <v>0</v>
      </c>
      <c r="F4" s="19">
        <v>0.48</v>
      </c>
      <c r="G4" s="19">
        <v>0</v>
      </c>
      <c r="H4" s="19">
        <v>1</v>
      </c>
      <c r="I4" s="19">
        <v>0.48</v>
      </c>
      <c r="J4" s="19">
        <v>1</v>
      </c>
      <c r="K4" s="19">
        <v>157352.69</v>
      </c>
      <c r="L4" s="19" t="s">
        <v>143</v>
      </c>
    </row>
    <row r="5" spans="1:12" ht="15" customHeight="1">
      <c r="A5" s="19" t="s">
        <v>58</v>
      </c>
      <c r="B5" s="19">
        <v>39324</v>
      </c>
      <c r="C5" s="19">
        <v>15679</v>
      </c>
      <c r="D5" s="19">
        <v>39.869999999999997</v>
      </c>
      <c r="E5" s="19">
        <v>4</v>
      </c>
      <c r="F5" s="19">
        <v>4</v>
      </c>
      <c r="G5" s="19">
        <v>4</v>
      </c>
      <c r="H5" s="19">
        <v>6</v>
      </c>
      <c r="I5" s="19">
        <v>0</v>
      </c>
      <c r="J5" s="19">
        <v>6</v>
      </c>
      <c r="K5" s="19">
        <v>1554660.99</v>
      </c>
      <c r="L5" s="19" t="s">
        <v>144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4"/>
  <sheetViews>
    <sheetView showGridLines="0" workbookViewId="0">
      <selection sqref="A1:F2"/>
    </sheetView>
  </sheetViews>
  <sheetFormatPr defaultRowHeight="14.25"/>
  <cols>
    <col min="1" max="1" width="24" customWidth="1"/>
    <col min="2" max="2" width="48" customWidth="1"/>
    <col min="3" max="3" width="24" customWidth="1"/>
    <col min="4" max="4" width="36" customWidth="1"/>
    <col min="8" max="8" width="24" customWidth="1"/>
    <col min="9" max="9" width="48" customWidth="1"/>
  </cols>
  <sheetData>
    <row r="1" spans="1:9" ht="15">
      <c r="A1" s="51" t="s">
        <v>145</v>
      </c>
      <c r="B1" s="35"/>
      <c r="C1" s="35"/>
      <c r="D1" s="35"/>
      <c r="E1" s="35"/>
      <c r="F1" s="35"/>
      <c r="H1" s="32" t="s">
        <v>146</v>
      </c>
      <c r="I1" s="33" t="s">
        <v>147</v>
      </c>
    </row>
    <row r="2" spans="1:9">
      <c r="A2" s="35"/>
      <c r="B2" s="35"/>
      <c r="C2" s="35"/>
      <c r="D2" s="35"/>
      <c r="E2" s="35"/>
      <c r="F2" s="35"/>
      <c r="H2" s="26" t="s">
        <v>67</v>
      </c>
      <c r="I2" s="28" t="s">
        <v>148</v>
      </c>
    </row>
    <row r="3" spans="1:9">
      <c r="H3" s="26" t="s">
        <v>66</v>
      </c>
      <c r="I3" s="28" t="s">
        <v>149</v>
      </c>
    </row>
    <row r="4" spans="1:9" ht="15">
      <c r="A4" s="23" t="s">
        <v>150</v>
      </c>
      <c r="B4" s="24" t="s">
        <v>151</v>
      </c>
      <c r="C4" s="24" t="s">
        <v>152</v>
      </c>
      <c r="D4" s="25" t="s">
        <v>153</v>
      </c>
      <c r="H4" s="26" t="s">
        <v>72</v>
      </c>
      <c r="I4" s="28" t="s">
        <v>154</v>
      </c>
    </row>
    <row r="5" spans="1:9">
      <c r="A5" s="26" t="s">
        <v>155</v>
      </c>
      <c r="B5" s="27" t="s">
        <v>156</v>
      </c>
      <c r="C5" s="27" t="s">
        <v>157</v>
      </c>
      <c r="D5" s="28" t="s">
        <v>158</v>
      </c>
      <c r="H5" s="26" t="s">
        <v>73</v>
      </c>
      <c r="I5" s="28" t="s">
        <v>159</v>
      </c>
    </row>
    <row r="6" spans="1:9" ht="28.5">
      <c r="A6" s="26" t="s">
        <v>160</v>
      </c>
      <c r="B6" s="27" t="s">
        <v>161</v>
      </c>
      <c r="C6" s="27" t="s">
        <v>157</v>
      </c>
      <c r="D6" s="28" t="s">
        <v>162</v>
      </c>
      <c r="H6" s="29" t="s">
        <v>74</v>
      </c>
      <c r="I6" s="31" t="s">
        <v>163</v>
      </c>
    </row>
    <row r="7" spans="1:9">
      <c r="A7" s="26" t="s">
        <v>40</v>
      </c>
      <c r="B7" s="27" t="s">
        <v>164</v>
      </c>
      <c r="C7" s="27" t="s">
        <v>157</v>
      </c>
      <c r="D7" s="28" t="s">
        <v>165</v>
      </c>
    </row>
    <row r="8" spans="1:9">
      <c r="A8" s="26" t="s">
        <v>166</v>
      </c>
      <c r="B8" s="27" t="s">
        <v>167</v>
      </c>
      <c r="C8" s="27" t="s">
        <v>157</v>
      </c>
      <c r="D8" s="28" t="s">
        <v>168</v>
      </c>
    </row>
    <row r="9" spans="1:9">
      <c r="A9" s="26" t="s">
        <v>169</v>
      </c>
      <c r="B9" s="27" t="s">
        <v>170</v>
      </c>
      <c r="C9" s="27" t="s">
        <v>157</v>
      </c>
      <c r="D9" s="28" t="s">
        <v>171</v>
      </c>
    </row>
    <row r="10" spans="1:9">
      <c r="A10" s="26" t="s">
        <v>172</v>
      </c>
      <c r="B10" s="27" t="s">
        <v>173</v>
      </c>
      <c r="C10" s="27" t="s">
        <v>174</v>
      </c>
      <c r="D10" s="28" t="s">
        <v>175</v>
      </c>
    </row>
    <row r="11" spans="1:9">
      <c r="A11" s="26" t="s">
        <v>63</v>
      </c>
      <c r="B11" s="27" t="s">
        <v>176</v>
      </c>
      <c r="C11" s="27" t="s">
        <v>177</v>
      </c>
      <c r="D11" s="28" t="s">
        <v>178</v>
      </c>
    </row>
    <row r="12" spans="1:9" ht="28.5">
      <c r="A12" s="26" t="s">
        <v>64</v>
      </c>
      <c r="B12" s="27" t="s">
        <v>179</v>
      </c>
      <c r="C12" s="27" t="s">
        <v>177</v>
      </c>
      <c r="D12" s="28" t="s">
        <v>180</v>
      </c>
    </row>
    <row r="13" spans="1:9">
      <c r="A13" s="26" t="s">
        <v>181</v>
      </c>
      <c r="B13" s="27" t="s">
        <v>182</v>
      </c>
      <c r="C13" s="27" t="s">
        <v>183</v>
      </c>
      <c r="D13" s="28" t="s">
        <v>184</v>
      </c>
    </row>
    <row r="14" spans="1:9">
      <c r="A14" s="29" t="s">
        <v>185</v>
      </c>
      <c r="B14" s="30" t="s">
        <v>186</v>
      </c>
      <c r="C14" s="30" t="s">
        <v>157</v>
      </c>
      <c r="D14" s="31" t="s">
        <v>187</v>
      </c>
    </row>
  </sheetData>
  <mergeCells count="1">
    <mergeCell ref="A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Executive Summary</vt:lpstr>
      <vt:lpstr>Data Quality</vt:lpstr>
      <vt:lpstr>KPI Data</vt:lpstr>
      <vt:lpstr>Profit Priority</vt:lpstr>
      <vt:lpstr>Shipping Modes</vt:lpstr>
      <vt:lpstr>Operational Lanes</vt:lpstr>
      <vt:lpstr>Market Analysis</vt:lpstr>
      <vt:lpstr>Customer Segments</vt:lpstr>
      <vt:lpstr>Opportunity Scenarios</vt:lpstr>
      <vt:lpstr>Monthly Trends</vt:lpstr>
      <vt:lpstr>SLA Promise Gap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Uday Prakash Lakkaraju</cp:lastModifiedBy>
  <dcterms:created xsi:type="dcterms:W3CDTF">2026-06-30T22:54:44Z</dcterms:created>
  <dcterms:modified xsi:type="dcterms:W3CDTF">2026-06-30T22:58:38Z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3fd474-4f3c-44ed-88fb-5cc4bd2471bf_Enabled">
    <vt:lpwstr>true</vt:lpwstr>
  </property>
  <property fmtid="{D5CDD505-2E9C-101B-9397-08002B2CF9AE}" pid="3" name="MSIP_Label_a73fd474-4f3c-44ed-88fb-5cc4bd2471bf_SetDate">
    <vt:lpwstr>2026-06-30T22:58:24Z</vt:lpwstr>
  </property>
  <property fmtid="{D5CDD505-2E9C-101B-9397-08002B2CF9AE}" pid="4" name="MSIP_Label_a73fd474-4f3c-44ed-88fb-5cc4bd2471bf_Method">
    <vt:lpwstr>Standard</vt:lpwstr>
  </property>
  <property fmtid="{D5CDD505-2E9C-101B-9397-08002B2CF9AE}" pid="5" name="MSIP_Label_a73fd474-4f3c-44ed-88fb-5cc4bd2471bf_Name">
    <vt:lpwstr>defa4170-0d19-0005-0004-bc88714345d2</vt:lpwstr>
  </property>
  <property fmtid="{D5CDD505-2E9C-101B-9397-08002B2CF9AE}" pid="6" name="MSIP_Label_a73fd474-4f3c-44ed-88fb-5cc4bd2471bf_SiteId">
    <vt:lpwstr>8d1a69ec-03b5-4345-ae21-dad112f5fb4f</vt:lpwstr>
  </property>
  <property fmtid="{D5CDD505-2E9C-101B-9397-08002B2CF9AE}" pid="7" name="MSIP_Label_a73fd474-4f3c-44ed-88fb-5cc4bd2471bf_ActionId">
    <vt:lpwstr>e7121811-db41-4aa0-b4b4-3975f5dd099b</vt:lpwstr>
  </property>
  <property fmtid="{D5CDD505-2E9C-101B-9397-08002B2CF9AE}" pid="8" name="MSIP_Label_a73fd474-4f3c-44ed-88fb-5cc4bd2471bf_ContentBits">
    <vt:lpwstr>0</vt:lpwstr>
  </property>
  <property fmtid="{D5CDD505-2E9C-101B-9397-08002B2CF9AE}" pid="9" name="MSIP_Label_a73fd474-4f3c-44ed-88fb-5cc4bd2471bf_Tag">
    <vt:lpwstr>10, 3, 0, 1</vt:lpwstr>
  </property>
</Properties>
</file>